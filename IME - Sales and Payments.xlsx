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/>
  <xr:revisionPtr revIDLastSave="0" documentId="13_ncr:1_{CA3359D7-361E-496F-97BE-C9A914A4D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 Tracker" sheetId="1" r:id="rId1"/>
    <sheet name="Sheet6" sheetId="10" r:id="rId2"/>
    <sheet name="Sheet1" sheetId="2" r:id="rId3"/>
    <sheet name="Data List " sheetId="3" r:id="rId4"/>
    <sheet name="Payment Details " sheetId="7" r:id="rId5"/>
    <sheet name="Sheet3" sheetId="5" r:id="rId6"/>
    <sheet name="Sheet2" sheetId="6" r:id="rId7"/>
    <sheet name="Sheet4" sheetId="8" r:id="rId8"/>
    <sheet name="Sheet5" sheetId="9" r:id="rId9"/>
  </sheets>
  <definedNames>
    <definedName name="_xlnm._FilterDatabase" localSheetId="3" hidden="1">'Data List '!$A$1:$A$32</definedName>
    <definedName name="_xlnm._FilterDatabase" localSheetId="0" hidden="1">'Invoice Tracker'!$A$1:$J$542</definedName>
    <definedName name="_xlnm._FilterDatabase" localSheetId="6" hidden="1">Sheet2!$B$1:$C$6</definedName>
    <definedName name="ColumnTitle1">#REF!</definedName>
    <definedName name="_xlnm.Print_Titles" localSheetId="0">'Invoice Tracker'!$1:$1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0" l="1"/>
  <c r="B6" i="10"/>
  <c r="D4" i="10"/>
  <c r="B4" i="10"/>
  <c r="D3" i="10"/>
  <c r="B3" i="10"/>
  <c r="D2" i="10"/>
  <c r="H12" i="8"/>
  <c r="I12" i="8"/>
  <c r="J12" i="8"/>
  <c r="F12" i="8"/>
  <c r="G12" i="8"/>
  <c r="E12" i="8"/>
  <c r="D12" i="8"/>
  <c r="E8" i="7"/>
  <c r="E7" i="7"/>
  <c r="E6" i="7"/>
  <c r="E5" i="7"/>
  <c r="E4" i="7"/>
  <c r="B5" i="10"/>
  <c r="B19" i="2"/>
  <c r="C6" i="2"/>
  <c r="B10" i="2"/>
  <c r="B12" i="2"/>
  <c r="B14" i="2"/>
  <c r="C5" i="2"/>
  <c r="E5" i="10" l="1"/>
  <c r="F5" i="10" s="1"/>
  <c r="E4" i="10"/>
  <c r="F4" i="10" s="1"/>
  <c r="E3" i="10"/>
  <c r="F3" i="10" s="1"/>
  <c r="E6" i="10"/>
  <c r="F6" i="10" s="1"/>
  <c r="B3" i="5" l="1"/>
</calcChain>
</file>

<file path=xl/sharedStrings.xml><?xml version="1.0" encoding="utf-8"?>
<sst xmlns="http://schemas.openxmlformats.org/spreadsheetml/2006/main" count="3476" uniqueCount="748">
  <si>
    <t>Invoice #</t>
  </si>
  <si>
    <t>Date</t>
  </si>
  <si>
    <t xml:space="preserve">Amount </t>
  </si>
  <si>
    <t>Delivery Charges</t>
  </si>
  <si>
    <t>Total paid</t>
  </si>
  <si>
    <t>Outstanding</t>
  </si>
  <si>
    <t>SI-24-05-101</t>
  </si>
  <si>
    <t>Ranjeewa</t>
  </si>
  <si>
    <t>Siroya Jewellery LLC - Al Qusais</t>
  </si>
  <si>
    <t>SI-24-05-102</t>
  </si>
  <si>
    <t>SI-24-04-86</t>
  </si>
  <si>
    <t xml:space="preserve">Indus Jewellers - Bur Dubai </t>
  </si>
  <si>
    <t>Siroya Gold Jewellery LLC - Gold Souq</t>
  </si>
  <si>
    <t>SI-24-05-105-1</t>
  </si>
  <si>
    <t>SI-24-05-48</t>
  </si>
  <si>
    <t xml:space="preserve">Eslam </t>
  </si>
  <si>
    <t xml:space="preserve">Al Jamila Jewellers - KSA </t>
  </si>
  <si>
    <t>SI-24-05-47</t>
  </si>
  <si>
    <t>Roma Jewellers - Kuwait</t>
  </si>
  <si>
    <t>SI-24-05-116-1</t>
  </si>
  <si>
    <t>Al Prince Gold  - Qatar</t>
  </si>
  <si>
    <t>SI-24-05-115-1</t>
  </si>
  <si>
    <t>SI-24-05-117-2</t>
  </si>
  <si>
    <t xml:space="preserve">Riham Kamal Jewellery - Abu Dhabi </t>
  </si>
  <si>
    <t>SI-24-05-134</t>
  </si>
  <si>
    <t>Tamil Nadu Jewellers - Gold Souq</t>
  </si>
  <si>
    <t>SI-24-06-22-1</t>
  </si>
  <si>
    <t>Faris Jewellery - KSA</t>
  </si>
  <si>
    <t>SI-24-06-23-1</t>
  </si>
  <si>
    <t>SI-24-06-43</t>
  </si>
  <si>
    <t>Damas - Pakistan</t>
  </si>
  <si>
    <t>SI-24-06-101</t>
  </si>
  <si>
    <t>Rising Star DMCC</t>
  </si>
  <si>
    <t>SI-24-07-105</t>
  </si>
  <si>
    <t xml:space="preserve">Thangals Jewellery LLC </t>
  </si>
  <si>
    <t>SI-24-07-107</t>
  </si>
  <si>
    <t>SI-24-08-29</t>
  </si>
  <si>
    <t>Al Abbadi Jewellers</t>
  </si>
  <si>
    <t>SI-24-08-30</t>
  </si>
  <si>
    <t>SI-24-07-121</t>
  </si>
  <si>
    <t>Jama Jewels DMCC</t>
  </si>
  <si>
    <t>SI-24-07-122</t>
  </si>
  <si>
    <t>Total</t>
  </si>
  <si>
    <t>SI-24-07-123</t>
  </si>
  <si>
    <t>Saturn Me Trading LLC</t>
  </si>
  <si>
    <t>SI-24-07-37</t>
  </si>
  <si>
    <t>SI-24-05-113-1</t>
  </si>
  <si>
    <t>SI-24-08-70</t>
  </si>
  <si>
    <t>Shrim Star DMCC</t>
  </si>
  <si>
    <t>SI-24-08-71</t>
  </si>
  <si>
    <t>SI-24-08-62-1</t>
  </si>
  <si>
    <t>Ido Ben David</t>
  </si>
  <si>
    <t>SI-24-08-57</t>
  </si>
  <si>
    <t xml:space="preserve">Invoice Amount </t>
  </si>
  <si>
    <t>Payment rec</t>
  </si>
  <si>
    <t>AED</t>
  </si>
  <si>
    <t>USD</t>
  </si>
  <si>
    <t>Convertion 3.6725</t>
  </si>
  <si>
    <t>Balance paid in AED</t>
  </si>
  <si>
    <t>USD Convert AED</t>
  </si>
  <si>
    <t>Convertion Rate 3.64</t>
  </si>
  <si>
    <t>Lost</t>
  </si>
  <si>
    <t xml:space="preserve">Ranjeewa - Paid Balance </t>
  </si>
  <si>
    <t>Ido Ben David - transaction</t>
  </si>
  <si>
    <t>Hossaini Far Jewellers</t>
  </si>
  <si>
    <t>SI-24-08-81</t>
  </si>
  <si>
    <t>SI-24-08-93</t>
  </si>
  <si>
    <t xml:space="preserve">Ranjeewa </t>
  </si>
  <si>
    <t>Eslam</t>
  </si>
  <si>
    <t>SI-24-07-103</t>
  </si>
  <si>
    <t>SI-24-08-77</t>
  </si>
  <si>
    <t>SI-24-07-92-1</t>
  </si>
  <si>
    <t>SI-24-08-97</t>
  </si>
  <si>
    <t>Laussane Jewellers LLC</t>
  </si>
  <si>
    <t>SI-24-09-08</t>
  </si>
  <si>
    <t>R &amp; M InternationalJewellers</t>
  </si>
  <si>
    <t>SI-24-09-36</t>
  </si>
  <si>
    <t>VAT</t>
  </si>
  <si>
    <t>SI-24-09-53</t>
  </si>
  <si>
    <t>SI-24-09-55</t>
  </si>
  <si>
    <t>SI-24-09-57</t>
  </si>
  <si>
    <t>Al Amiri Jewellery</t>
  </si>
  <si>
    <t>SI-24-09-63</t>
  </si>
  <si>
    <t>SI-24-09-58</t>
  </si>
  <si>
    <t>Al Fardan Jewellery</t>
  </si>
  <si>
    <t>SI-24-09-68</t>
  </si>
  <si>
    <t>SI-24-09-134</t>
  </si>
  <si>
    <t>Brown Kabul Jewellery LLC</t>
  </si>
  <si>
    <t>SI-24-10-21</t>
  </si>
  <si>
    <t>Grazeilla Jewellery LLC</t>
  </si>
  <si>
    <t>SI-24-10-22</t>
  </si>
  <si>
    <t>SI-24-09-135</t>
  </si>
  <si>
    <t>SI-24-10-24</t>
  </si>
  <si>
    <t xml:space="preserve">Dhamani Jewellery </t>
  </si>
  <si>
    <t>SI-24-10-45</t>
  </si>
  <si>
    <t>SI-24-10-17</t>
  </si>
  <si>
    <t>Spectrum Oversease DMCC</t>
  </si>
  <si>
    <t>SI-24-10-50</t>
  </si>
  <si>
    <t>New Classic Gold Trading L.L.C</t>
  </si>
  <si>
    <t>SI-24-10-49</t>
  </si>
  <si>
    <t>Three Star Jewellers</t>
  </si>
  <si>
    <t>SI-24-10-78</t>
  </si>
  <si>
    <t>SI-24-10-108</t>
  </si>
  <si>
    <t>SI-24-10-107</t>
  </si>
  <si>
    <t>SI-24-10-109-1</t>
  </si>
  <si>
    <t>Al Romaizan Jewellery LLC</t>
  </si>
  <si>
    <t>SI-24-10-138</t>
  </si>
  <si>
    <t>SI-24-10-139</t>
  </si>
  <si>
    <t>Dhakkan Jewellery LLC</t>
  </si>
  <si>
    <t>SI-24-10-147</t>
  </si>
  <si>
    <t>SI-24-11-05</t>
  </si>
  <si>
    <t>Michael Jewellery</t>
  </si>
  <si>
    <t>SI-24-11-06</t>
  </si>
  <si>
    <t>SI-24-11-12-1</t>
  </si>
  <si>
    <t>SI-24-11-11</t>
  </si>
  <si>
    <t xml:space="preserve">Cheque Deposit </t>
  </si>
  <si>
    <t>SI-24-11-38</t>
  </si>
  <si>
    <t>SI-24-11-37</t>
  </si>
  <si>
    <t>SI-24-11-55</t>
  </si>
  <si>
    <t>OOO "AsherDiamonds"</t>
  </si>
  <si>
    <t>SI-24-11-51</t>
  </si>
  <si>
    <t>Perfect Shine Global Co. Ltd</t>
  </si>
  <si>
    <t>SI-24-11-52</t>
  </si>
  <si>
    <t>A V Diamonds DMCC</t>
  </si>
  <si>
    <t>SI-24-11-81</t>
  </si>
  <si>
    <t>SI-24-11-70</t>
  </si>
  <si>
    <t>SI-24-11-68</t>
  </si>
  <si>
    <t>Al Hashdi Gold and Jewellery</t>
  </si>
  <si>
    <t>SI-24-11-61</t>
  </si>
  <si>
    <t>SI-24-11-50</t>
  </si>
  <si>
    <t>Moaid AlNasser Jewelry</t>
  </si>
  <si>
    <t>SI-24-11-69</t>
  </si>
  <si>
    <t>SI-24-11-88</t>
  </si>
  <si>
    <t>SI-24-11-95</t>
  </si>
  <si>
    <t>SI-24-11-106</t>
  </si>
  <si>
    <t>SI-24-11-109</t>
  </si>
  <si>
    <t>SI-24-12-25</t>
  </si>
  <si>
    <t>SI-24-12-12</t>
  </si>
  <si>
    <t>SI-24-12-28</t>
  </si>
  <si>
    <t>SI-24-12-62</t>
  </si>
  <si>
    <t>SI-24-12-63</t>
  </si>
  <si>
    <t>SI-24-12-54</t>
  </si>
  <si>
    <t>Arcadia Gems DMCC</t>
  </si>
  <si>
    <t>SI-24-12-58</t>
  </si>
  <si>
    <t>SI-24-12-57</t>
  </si>
  <si>
    <t>Faqeesh Jewellery</t>
  </si>
  <si>
    <t>SI-24-12-29</t>
  </si>
  <si>
    <t xml:space="preserve">Direct </t>
  </si>
  <si>
    <t>SI-24-12-90</t>
  </si>
  <si>
    <t xml:space="preserve">Anshul </t>
  </si>
  <si>
    <t>Pace Gems Middle EastDmcc</t>
  </si>
  <si>
    <t>SI-24-12-65</t>
  </si>
  <si>
    <t>SI-24-12-92</t>
  </si>
  <si>
    <t>SI-24-10-168-1</t>
  </si>
  <si>
    <t xml:space="preserve">Bank Transfer </t>
  </si>
  <si>
    <t>SI-24-12-128</t>
  </si>
  <si>
    <t>SI-24-12-137</t>
  </si>
  <si>
    <t>SI-24-12-176</t>
  </si>
  <si>
    <t>SI-24-12-177</t>
  </si>
  <si>
    <t>SI-24-12-180</t>
  </si>
  <si>
    <t>SI-24-12-186</t>
  </si>
  <si>
    <t>SI-25-01-13</t>
  </si>
  <si>
    <t>SI-25-01-14</t>
  </si>
  <si>
    <t>OR Gaune Jewelry Limited Liability Company LLC</t>
  </si>
  <si>
    <t>SI-25-01-15</t>
  </si>
  <si>
    <t>SI-25-01-41</t>
  </si>
  <si>
    <t>SI-25-01-42</t>
  </si>
  <si>
    <t>SI-25-01-43</t>
  </si>
  <si>
    <t>SI-25-01-38</t>
  </si>
  <si>
    <t>SI-25-01-62</t>
  </si>
  <si>
    <t>Dananner For Gold &amp; Jewellery</t>
  </si>
  <si>
    <t>SI-25-01-68</t>
  </si>
  <si>
    <t>SI-25-01-69</t>
  </si>
  <si>
    <t>SI-25-01-82</t>
  </si>
  <si>
    <t>Kamyen DMCC</t>
  </si>
  <si>
    <t>SI-25-01-118</t>
  </si>
  <si>
    <t>SI-25-01-125</t>
  </si>
  <si>
    <t>Rakeezah Jewellery</t>
  </si>
  <si>
    <t>SI-25-01-68-69</t>
  </si>
  <si>
    <t>SI-25-01-142-1</t>
  </si>
  <si>
    <t>Meraki Gems and Jewellery Limited</t>
  </si>
  <si>
    <t>SI-25-01-155</t>
  </si>
  <si>
    <t>Bagful of Goodies Retailers Inc</t>
  </si>
  <si>
    <t>SI-25-01-156</t>
  </si>
  <si>
    <t>SI-25-01-159</t>
  </si>
  <si>
    <t>SI-25-01-158</t>
  </si>
  <si>
    <t>Payment / Invoice</t>
  </si>
  <si>
    <t>Invoice</t>
  </si>
  <si>
    <t>Payments</t>
  </si>
  <si>
    <t>SI-25-01-165</t>
  </si>
  <si>
    <t>Sabaik Al Doha</t>
  </si>
  <si>
    <t>SI-25-01-169</t>
  </si>
  <si>
    <t>SI-25-01-170</t>
  </si>
  <si>
    <t>Jawaher Qatar</t>
  </si>
  <si>
    <t>SI-25-01-173</t>
  </si>
  <si>
    <t>Regency Jewellery W.L.L</t>
  </si>
  <si>
    <t>SI-25-01-174</t>
  </si>
  <si>
    <t>SI-25-01-183</t>
  </si>
  <si>
    <t>SI-25-02-14</t>
  </si>
  <si>
    <t>SI-25-01-172</t>
  </si>
  <si>
    <t xml:space="preserve">Bank transfer </t>
  </si>
  <si>
    <t>SI-25-02-10</t>
  </si>
  <si>
    <t>Discount</t>
  </si>
  <si>
    <t>SI-25-01-191</t>
  </si>
  <si>
    <t>SI-25-01-192</t>
  </si>
  <si>
    <t>SI-25-01-193</t>
  </si>
  <si>
    <t>SI-25-02-27</t>
  </si>
  <si>
    <t>SIERRA LUXURY JEWELLERY TRADING L.L.C</t>
  </si>
  <si>
    <t>SI-25-02-35</t>
  </si>
  <si>
    <t>SI-25-02-102</t>
  </si>
  <si>
    <t>SI-25-02-114</t>
  </si>
  <si>
    <t xml:space="preserve">Cash Payment </t>
  </si>
  <si>
    <t>Toramanian Jewellery</t>
  </si>
  <si>
    <t>SI-25-02-126</t>
  </si>
  <si>
    <t>SI-25-02-127</t>
  </si>
  <si>
    <t>SI-25-02-99</t>
  </si>
  <si>
    <t>SI-25-02-134</t>
  </si>
  <si>
    <t>Al Mustwa Al Raqi Computer Programe</t>
  </si>
  <si>
    <t>SI-25-03-17</t>
  </si>
  <si>
    <t>SI-25-03-22</t>
  </si>
  <si>
    <t>SI-25-03-21</t>
  </si>
  <si>
    <t>Diamondxe DMCC</t>
  </si>
  <si>
    <t>SI-25-03-45</t>
  </si>
  <si>
    <t>SI-25-02-46</t>
  </si>
  <si>
    <t>SI-25-02-50</t>
  </si>
  <si>
    <t>SI-25-03-134</t>
  </si>
  <si>
    <t>SI-25-03-131</t>
  </si>
  <si>
    <t>SI-25-03-109</t>
  </si>
  <si>
    <t>SI-25-03-151</t>
  </si>
  <si>
    <t>SI-25-03-160</t>
  </si>
  <si>
    <t>A R G Gold And Diamonds Trading L.L.C</t>
  </si>
  <si>
    <t>SI-25-03-185</t>
  </si>
  <si>
    <t>12-177/12-186</t>
  </si>
  <si>
    <t>SI-25-03-176</t>
  </si>
  <si>
    <t>SI-25-03-177-1</t>
  </si>
  <si>
    <t>SI-25-03-161-1</t>
  </si>
  <si>
    <t>SI-25-02-49</t>
  </si>
  <si>
    <t>SI-25-02-48</t>
  </si>
  <si>
    <t>SI-25-03-66</t>
  </si>
  <si>
    <t>SI-25-03-75-1</t>
  </si>
  <si>
    <t>SI-25-02-60</t>
  </si>
  <si>
    <t>SI-24-08-89</t>
  </si>
  <si>
    <t xml:space="preserve">Total Inv Amount </t>
  </si>
  <si>
    <t xml:space="preserve">Customer Name </t>
  </si>
  <si>
    <t xml:space="preserve">Out Standing </t>
  </si>
  <si>
    <t xml:space="preserve">Cash Depsoit </t>
  </si>
  <si>
    <t>SI-24-10-94</t>
  </si>
  <si>
    <t>Ebraq For Gold &amp; Jewellery</t>
  </si>
  <si>
    <t>54/58/65</t>
  </si>
  <si>
    <t>SI-25-02-47</t>
  </si>
  <si>
    <t>SI-25-03-211</t>
  </si>
  <si>
    <t>172/14</t>
  </si>
  <si>
    <t>Blue Diamond Jewellery L.L.C</t>
  </si>
  <si>
    <t>SI-25-03-222</t>
  </si>
  <si>
    <t>SI-25-03-221</t>
  </si>
  <si>
    <t>SAL-ORD-2025-00466-1</t>
  </si>
  <si>
    <t>Deogold Jewelry Trading</t>
  </si>
  <si>
    <t>SI-25-04-20</t>
  </si>
  <si>
    <t>SI-25-04-22-1</t>
  </si>
  <si>
    <t>SI-25-04-21-1</t>
  </si>
  <si>
    <t>20/21-1/22-1</t>
  </si>
  <si>
    <t xml:space="preserve">Payment Return </t>
  </si>
  <si>
    <t>SI-25-04-70</t>
  </si>
  <si>
    <t>SI-25-04-80</t>
  </si>
  <si>
    <t>SI-25-04-81</t>
  </si>
  <si>
    <t>Petty Cash</t>
  </si>
  <si>
    <t>SI-24-05-119-1</t>
  </si>
  <si>
    <t>SI-25-04-151</t>
  </si>
  <si>
    <t>SI-25-04-147</t>
  </si>
  <si>
    <t>Solara Jewellery LLC</t>
  </si>
  <si>
    <t>RAD Jewellery LLC</t>
  </si>
  <si>
    <t>SI-25-04-244</t>
  </si>
  <si>
    <t>Lausanne Collections Jewellery Trading LLC</t>
  </si>
  <si>
    <t>SI-25-04-243</t>
  </si>
  <si>
    <t>SI-25-04-255</t>
  </si>
  <si>
    <t>SI-25-04-256</t>
  </si>
  <si>
    <t>SI-25-04-152</t>
  </si>
  <si>
    <t>Amritlal R Dhanak Jewellers</t>
  </si>
  <si>
    <t>SI-25-04-195</t>
  </si>
  <si>
    <t>SI-25-04-194</t>
  </si>
  <si>
    <t>SI-25-04-193</t>
  </si>
  <si>
    <t>SI-25-05-64</t>
  </si>
  <si>
    <t>SI-25-04-234</t>
  </si>
  <si>
    <t>SI-25-04-230</t>
  </si>
  <si>
    <t>SI-25-04-231</t>
  </si>
  <si>
    <t>SI-25-04-245</t>
  </si>
  <si>
    <t>SI-25-05-07</t>
  </si>
  <si>
    <t>SI-25-05-48</t>
  </si>
  <si>
    <t>SI-25-05-35</t>
  </si>
  <si>
    <t>SI-25-05-40</t>
  </si>
  <si>
    <t>SI-25-05-39</t>
  </si>
  <si>
    <t>SI-25-05-70</t>
  </si>
  <si>
    <t>SI-25-05-63</t>
  </si>
  <si>
    <t>SI-25-05-68</t>
  </si>
  <si>
    <t>SI-25-05-74</t>
  </si>
  <si>
    <t>Anshul</t>
  </si>
  <si>
    <t>SI-25-05-18</t>
  </si>
  <si>
    <t>SI-25-05-141</t>
  </si>
  <si>
    <t>SI-25-05-117</t>
  </si>
  <si>
    <t>SI-25-05-120</t>
  </si>
  <si>
    <t>SI-25-05-119</t>
  </si>
  <si>
    <t>SI-25-05-118</t>
  </si>
  <si>
    <t>Elan Jewels LLC</t>
  </si>
  <si>
    <t>SI-25-05-140</t>
  </si>
  <si>
    <t>SI-25-05-143</t>
  </si>
  <si>
    <t xml:space="preserve">IME Depsit </t>
  </si>
  <si>
    <t>NILKANTH GOODS WHOLESALERS L.L.C</t>
  </si>
  <si>
    <t>SI-25-05-216</t>
  </si>
  <si>
    <t>SI-25-05-215</t>
  </si>
  <si>
    <t>SI-25-05-205</t>
  </si>
  <si>
    <t>Balance</t>
  </si>
  <si>
    <t>Payment</t>
  </si>
  <si>
    <t xml:space="preserve">Mobin  -payment for 13 printer invocie </t>
  </si>
  <si>
    <t>N</t>
  </si>
  <si>
    <t>C</t>
  </si>
  <si>
    <t>SI-25-06-17</t>
  </si>
  <si>
    <t>SI-25-06-30</t>
  </si>
  <si>
    <t>SI-25-05-58</t>
  </si>
  <si>
    <t>SI-25-01-124</t>
  </si>
  <si>
    <t>124-125</t>
  </si>
  <si>
    <t>SI-25-06-145</t>
  </si>
  <si>
    <t>SI-25-06-100</t>
  </si>
  <si>
    <t>SI-25-06-85</t>
  </si>
  <si>
    <t>SI-25-06-151</t>
  </si>
  <si>
    <t>Jhaena Jewels</t>
  </si>
  <si>
    <t>SI-25-06-78-1</t>
  </si>
  <si>
    <t>SI-25-06-79-1</t>
  </si>
  <si>
    <t>SI-25-06-82-1</t>
  </si>
  <si>
    <t>SI-25-06-75</t>
  </si>
  <si>
    <t>05-39/06-75</t>
  </si>
  <si>
    <t>SI-25-06-126</t>
  </si>
  <si>
    <t>SI-25-06-164</t>
  </si>
  <si>
    <t>SI-25-06-165</t>
  </si>
  <si>
    <t>SI-25-06-187</t>
  </si>
  <si>
    <t>SI-25-07-10</t>
  </si>
  <si>
    <t>Caratco Pty Ltd</t>
  </si>
  <si>
    <t>SI-25-07-11</t>
  </si>
  <si>
    <t>SI-25-07-12</t>
  </si>
  <si>
    <t>SI-25-07-15</t>
  </si>
  <si>
    <t>SI-25-07-42</t>
  </si>
  <si>
    <t>Onegai2007 Delivery OPC</t>
  </si>
  <si>
    <t>SI-25-07-95</t>
  </si>
  <si>
    <t>Safia Shirwa Jewellery</t>
  </si>
  <si>
    <t>SI-25-06-168</t>
  </si>
  <si>
    <t>168-243</t>
  </si>
  <si>
    <t>SI-25-06-178</t>
  </si>
  <si>
    <t>SI-25-07-75</t>
  </si>
  <si>
    <t>Glittering Gems DMCC</t>
  </si>
  <si>
    <t>SI-25-07-87</t>
  </si>
  <si>
    <t>SI-25-07-92</t>
  </si>
  <si>
    <t>SI-25-07-126</t>
  </si>
  <si>
    <t>SI-25-07-128</t>
  </si>
  <si>
    <t>SI-25-07-153</t>
  </si>
  <si>
    <t>SI-25-07-152</t>
  </si>
  <si>
    <t>SI-25-07-154</t>
  </si>
  <si>
    <t>SI-25-07-170</t>
  </si>
  <si>
    <t>SI-25-07-97</t>
  </si>
  <si>
    <t>Nishka Jewellery LLC</t>
  </si>
  <si>
    <t>SI-25-08-38</t>
  </si>
  <si>
    <t>Perfect Jewellery - PH</t>
  </si>
  <si>
    <t>SI-25-08-84</t>
  </si>
  <si>
    <t>Joy Alukkas Jewellery LLC</t>
  </si>
  <si>
    <t>SI-25-08-92</t>
  </si>
  <si>
    <t>SI-25-08-72</t>
  </si>
  <si>
    <t>SI-25-08-95</t>
  </si>
  <si>
    <t>SI-25-08-80</t>
  </si>
  <si>
    <t>SI-25-08-22</t>
  </si>
  <si>
    <t>SI-25-07-171</t>
  </si>
  <si>
    <t>SI-25-08-103</t>
  </si>
  <si>
    <t>SI-25-08-104</t>
  </si>
  <si>
    <t>SI-25-07-173</t>
  </si>
  <si>
    <t>07-15 / 07-173</t>
  </si>
  <si>
    <t>SI-25-08-142</t>
  </si>
  <si>
    <t>SI-25-08-141</t>
  </si>
  <si>
    <t>SI-25-08-147</t>
  </si>
  <si>
    <t>SI-25-08-111</t>
  </si>
  <si>
    <t>Hass Jewellers Pty. Ltd.</t>
  </si>
  <si>
    <t>SI-25-08-117</t>
  </si>
  <si>
    <t>SI-25-08-162</t>
  </si>
  <si>
    <t>SI-25-07-26</t>
  </si>
  <si>
    <t>SI-25-07-25-1</t>
  </si>
  <si>
    <t>SI-25-08-174</t>
  </si>
  <si>
    <t xml:space="preserve">Out Standing Statement </t>
  </si>
  <si>
    <t>SI-25-07-54</t>
  </si>
  <si>
    <t>SI-25-08-181</t>
  </si>
  <si>
    <t>SI-25-08-161</t>
  </si>
  <si>
    <t>Al Nahar Jewellery and Watches LLC</t>
  </si>
  <si>
    <t>SI-25-08-164</t>
  </si>
  <si>
    <t>GOLDRUSH JEWELLERY TRADING CO. L.L.C</t>
  </si>
  <si>
    <t>SI-25-08-163</t>
  </si>
  <si>
    <t>SI-25-08-40</t>
  </si>
  <si>
    <t>SI-25-08-39</t>
  </si>
  <si>
    <t>Muhebi Gold and Jewellery Trading LLC</t>
  </si>
  <si>
    <t>SI-25-08-64</t>
  </si>
  <si>
    <t>SI-25-08-65</t>
  </si>
  <si>
    <t>SI-25-08-41</t>
  </si>
  <si>
    <t>SI-25-08-42</t>
  </si>
  <si>
    <t>SI-25-05-67-1</t>
  </si>
  <si>
    <t>Al Nashmi Gold For TradingJewellery Bullion LimitedLiability Company</t>
  </si>
  <si>
    <t>Raveesh</t>
  </si>
  <si>
    <t>SI-25-08-188</t>
  </si>
  <si>
    <t>anshul</t>
  </si>
  <si>
    <t>SI-25-08-196</t>
  </si>
  <si>
    <t>SI-25-07-67</t>
  </si>
  <si>
    <t>SI-25-07-61</t>
  </si>
  <si>
    <t>SI-25-08-208</t>
  </si>
  <si>
    <t>SI-25-08-205-1</t>
  </si>
  <si>
    <t>SI-25-08-184</t>
  </si>
  <si>
    <t>SI-25-08-185</t>
  </si>
  <si>
    <t>SI-25-08-186</t>
  </si>
  <si>
    <t>SI-25-08-216</t>
  </si>
  <si>
    <t>SI-25-08-191</t>
  </si>
  <si>
    <t>SI-25-08-209</t>
  </si>
  <si>
    <t>Ayaani Brand Limited</t>
  </si>
  <si>
    <t>Rosetta Fine Jewellery FZCO</t>
  </si>
  <si>
    <t>SI-25-08-206-1</t>
  </si>
  <si>
    <t>SI-25-08-207-1</t>
  </si>
  <si>
    <t>SI-25-08-211</t>
  </si>
  <si>
    <t>AL ANWAAR GOLDEN JEWELLERS L.L.C</t>
  </si>
  <si>
    <t>SI-25-08-212</t>
  </si>
  <si>
    <t>Brinks SI International Logistics (Middle East) FZE</t>
  </si>
  <si>
    <t>SI-25-09-38</t>
  </si>
  <si>
    <t>SI-25-09-39-1</t>
  </si>
  <si>
    <t>SI-25-09-04</t>
  </si>
  <si>
    <t>SI-25-09-136</t>
  </si>
  <si>
    <t>SI-25-09-77</t>
  </si>
  <si>
    <t>Nikhil</t>
  </si>
  <si>
    <t>Unison Jewelry DMCC</t>
  </si>
  <si>
    <t>SI-25-09-65</t>
  </si>
  <si>
    <t>SI-25-09-91</t>
  </si>
  <si>
    <t>SI-25-09-121</t>
  </si>
  <si>
    <t>SI-25-09-122</t>
  </si>
  <si>
    <t>SI-25-09-123</t>
  </si>
  <si>
    <t>SI-25-09-124</t>
  </si>
  <si>
    <t>Saeed Shouk Sons Limited</t>
  </si>
  <si>
    <t>SI-25-09-135</t>
  </si>
  <si>
    <t>Amara Shia Jewelry</t>
  </si>
  <si>
    <t>SI-25-09-152</t>
  </si>
  <si>
    <t>SI-25-09-153</t>
  </si>
  <si>
    <t>SI-25-09-154</t>
  </si>
  <si>
    <t>SI-25-09-156</t>
  </si>
  <si>
    <t>SI-25-09-155</t>
  </si>
  <si>
    <t>SI-25-09-171</t>
  </si>
  <si>
    <t>SI-25-09-170</t>
  </si>
  <si>
    <t>SI-25-09-172</t>
  </si>
  <si>
    <t>SI-25-09-175</t>
  </si>
  <si>
    <t>SI-25-09-185</t>
  </si>
  <si>
    <t>SI-25-09-241</t>
  </si>
  <si>
    <t>SI-25-09-212</t>
  </si>
  <si>
    <t>SI-25-09-214</t>
  </si>
  <si>
    <t xml:space="preserve">Joy Alukkas Jewellery LLC -  Australia </t>
  </si>
  <si>
    <t>SI-25-09-352</t>
  </si>
  <si>
    <t>Joyalukkas Jewellery International Pte Ltd</t>
  </si>
  <si>
    <t>SI-25-09-353</t>
  </si>
  <si>
    <t>SI-25-09-354</t>
  </si>
  <si>
    <t>SI-25-09-355</t>
  </si>
  <si>
    <t>SI-25-09-343</t>
  </si>
  <si>
    <t>NEW VERONA FZCO</t>
  </si>
  <si>
    <t>SI-25-09-323</t>
  </si>
  <si>
    <t>SI-25-09-324</t>
  </si>
  <si>
    <t>SI-25-09-311</t>
  </si>
  <si>
    <t>Al Oraibi Jewelery</t>
  </si>
  <si>
    <t>SI-25-09-328</t>
  </si>
  <si>
    <t>SI-25-09-344</t>
  </si>
  <si>
    <t>SI-25-09-248</t>
  </si>
  <si>
    <t>SI-25-09-247</t>
  </si>
  <si>
    <t>Ultra Medium Sdn. Bhd.</t>
  </si>
  <si>
    <t xml:space="preserve">Rohit </t>
  </si>
  <si>
    <t>SI-25-10-106</t>
  </si>
  <si>
    <t>SI-25-10-104</t>
  </si>
  <si>
    <t>SI-25-10-103</t>
  </si>
  <si>
    <t>Ward Co.</t>
  </si>
  <si>
    <t>SI-25-10-74</t>
  </si>
  <si>
    <t>SI-25-10-70</t>
  </si>
  <si>
    <t>SI-25-10-64</t>
  </si>
  <si>
    <t>SI-25-10-62</t>
  </si>
  <si>
    <t>SI-25-10-61</t>
  </si>
  <si>
    <t>Make MY HOME REAL ESTATE L.L.C</t>
  </si>
  <si>
    <t>SI-25-10-46</t>
  </si>
  <si>
    <t>SI-25-10-45</t>
  </si>
  <si>
    <t>SI-25-10-42</t>
  </si>
  <si>
    <t xml:space="preserve">Invocie Date </t>
  </si>
  <si>
    <t xml:space="preserve">Invoice No </t>
  </si>
  <si>
    <t>Invoice Number</t>
  </si>
  <si>
    <t>Customer</t>
  </si>
  <si>
    <t>Salesperson</t>
  </si>
  <si>
    <t>22165.5</t>
  </si>
  <si>
    <t>1942.5</t>
  </si>
  <si>
    <t>0</t>
  </si>
  <si>
    <t>19587.75</t>
  </si>
  <si>
    <t>3675</t>
  </si>
  <si>
    <t>1732.5</t>
  </si>
  <si>
    <t>2982</t>
  </si>
  <si>
    <t>4450</t>
  </si>
  <si>
    <t>25200</t>
  </si>
  <si>
    <t>1732</t>
  </si>
  <si>
    <t>16012</t>
  </si>
  <si>
    <t>3024</t>
  </si>
  <si>
    <t>10500</t>
  </si>
  <si>
    <t>1575</t>
  </si>
  <si>
    <t>27426</t>
  </si>
  <si>
    <t>6180</t>
  </si>
  <si>
    <t>630</t>
  </si>
  <si>
    <t>1270</t>
  </si>
  <si>
    <t>33767</t>
  </si>
  <si>
    <t>4053</t>
  </si>
  <si>
    <t>6888</t>
  </si>
  <si>
    <t>7423.5</t>
  </si>
  <si>
    <t>5650</t>
  </si>
  <si>
    <t>2625</t>
  </si>
  <si>
    <t>3097.5</t>
  </si>
  <si>
    <t>26250</t>
  </si>
  <si>
    <t>13912.5</t>
  </si>
  <si>
    <t>5701.5</t>
  </si>
  <si>
    <t>252</t>
  </si>
  <si>
    <t>787.5</t>
  </si>
  <si>
    <t>1260</t>
  </si>
  <si>
    <t>5250</t>
  </si>
  <si>
    <t>5691</t>
  </si>
  <si>
    <t>13125</t>
  </si>
  <si>
    <t>5700</t>
  </si>
  <si>
    <t>1764</t>
  </si>
  <si>
    <t>2979.9</t>
  </si>
  <si>
    <t>7914.9</t>
  </si>
  <si>
    <t>16285.5</t>
  </si>
  <si>
    <t>525</t>
  </si>
  <si>
    <t>28563.61</t>
  </si>
  <si>
    <t>4954.5</t>
  </si>
  <si>
    <t>50400</t>
  </si>
  <si>
    <t>14448</t>
  </si>
  <si>
    <t>1008</t>
  </si>
  <si>
    <t>23341.5</t>
  </si>
  <si>
    <t>656.25</t>
  </si>
  <si>
    <t>6867</t>
  </si>
  <si>
    <t>41000</t>
  </si>
  <si>
    <t>6000</t>
  </si>
  <si>
    <t>3990</t>
  </si>
  <si>
    <t>10850</t>
  </si>
  <si>
    <t>9450</t>
  </si>
  <si>
    <t>9481.5</t>
  </si>
  <si>
    <t>1837.5</t>
  </si>
  <si>
    <t>1050</t>
  </si>
  <si>
    <t>2940</t>
  </si>
  <si>
    <t>3465</t>
  </si>
  <si>
    <t>3885</t>
  </si>
  <si>
    <t>2100</t>
  </si>
  <si>
    <t>2546.25</t>
  </si>
  <si>
    <t>2709</t>
  </si>
  <si>
    <t>6457.5</t>
  </si>
  <si>
    <t>1927.8</t>
  </si>
  <si>
    <t>16003.05</t>
  </si>
  <si>
    <t>2520</t>
  </si>
  <si>
    <t>18532.5</t>
  </si>
  <si>
    <t>945</t>
  </si>
  <si>
    <t>1512</t>
  </si>
  <si>
    <t>2000</t>
  </si>
  <si>
    <t>14800</t>
  </si>
  <si>
    <t>9200</t>
  </si>
  <si>
    <t>1567.65</t>
  </si>
  <si>
    <t>2016</t>
  </si>
  <si>
    <t>6300</t>
  </si>
  <si>
    <t>1036.35</t>
  </si>
  <si>
    <t>3150</t>
  </si>
  <si>
    <t>16910</t>
  </si>
  <si>
    <t>1850</t>
  </si>
  <si>
    <t>2266</t>
  </si>
  <si>
    <t>19350</t>
  </si>
  <si>
    <t>20968.5</t>
  </si>
  <si>
    <t>3198.405</t>
  </si>
  <si>
    <t>12312</t>
  </si>
  <si>
    <t>1785</t>
  </si>
  <si>
    <t>1155</t>
  </si>
  <si>
    <t>12915</t>
  </si>
  <si>
    <t>2310</t>
  </si>
  <si>
    <t>1750</t>
  </si>
  <si>
    <t>5764</t>
  </si>
  <si>
    <t>5355</t>
  </si>
  <si>
    <t>24810</t>
  </si>
  <si>
    <t>25263</t>
  </si>
  <si>
    <t>1541.4</t>
  </si>
  <si>
    <t>378</t>
  </si>
  <si>
    <t>1650</t>
  </si>
  <si>
    <t>5649.525</t>
  </si>
  <si>
    <t>2700</t>
  </si>
  <si>
    <t>16150</t>
  </si>
  <si>
    <t>6674.493</t>
  </si>
  <si>
    <t>420</t>
  </si>
  <si>
    <t>546</t>
  </si>
  <si>
    <t>6941.34</t>
  </si>
  <si>
    <t>315</t>
  </si>
  <si>
    <t>45304.98</t>
  </si>
  <si>
    <t>192.675</t>
  </si>
  <si>
    <t>9237.9</t>
  </si>
  <si>
    <t>2892.1725</t>
  </si>
  <si>
    <t>964.0575</t>
  </si>
  <si>
    <t>192.8115</t>
  </si>
  <si>
    <t>4620</t>
  </si>
  <si>
    <t>40005.42</t>
  </si>
  <si>
    <t>9834.3</t>
  </si>
  <si>
    <t>46861.71</t>
  </si>
  <si>
    <t>14490</t>
  </si>
  <si>
    <t>1085</t>
  </si>
  <si>
    <t>26145</t>
  </si>
  <si>
    <t>1627.5</t>
  </si>
  <si>
    <t>5066.25</t>
  </si>
  <si>
    <t>1312.5</t>
  </si>
  <si>
    <t>4515</t>
  </si>
  <si>
    <t>4554.375</t>
  </si>
  <si>
    <t>6615</t>
  </si>
  <si>
    <t>13860</t>
  </si>
  <si>
    <t>126</t>
  </si>
  <si>
    <t>17619</t>
  </si>
  <si>
    <t>1417.5</t>
  </si>
  <si>
    <t>1890</t>
  </si>
  <si>
    <t>5066</t>
  </si>
  <si>
    <t>5040</t>
  </si>
  <si>
    <t>3062.85</t>
  </si>
  <si>
    <t>183.75</t>
  </si>
  <si>
    <t>14290.5</t>
  </si>
  <si>
    <t>4375</t>
  </si>
  <si>
    <t>450</t>
  </si>
  <si>
    <t>1400</t>
  </si>
  <si>
    <t>7875</t>
  </si>
  <si>
    <t>1755.6</t>
  </si>
  <si>
    <t>7775.25</t>
  </si>
  <si>
    <t>26880</t>
  </si>
  <si>
    <t>2887.5</t>
  </si>
  <si>
    <t>3250</t>
  </si>
  <si>
    <t>15635</t>
  </si>
  <si>
    <t>5460</t>
  </si>
  <si>
    <t>2835</t>
  </si>
  <si>
    <t>9727.5</t>
  </si>
  <si>
    <t>1286.25</t>
  </si>
  <si>
    <t>3060.75</t>
  </si>
  <si>
    <t>7901.25</t>
  </si>
  <si>
    <t>876.75</t>
  </si>
  <si>
    <t>1926.75</t>
  </si>
  <si>
    <t>971.25</t>
  </si>
  <si>
    <t>5801.25</t>
  </si>
  <si>
    <t>5916.75</t>
  </si>
  <si>
    <t>1522.5</t>
  </si>
  <si>
    <t>4226.25</t>
  </si>
  <si>
    <t>1024</t>
  </si>
  <si>
    <t>997.5</t>
  </si>
  <si>
    <t>8998.5</t>
  </si>
  <si>
    <t>4058.25</t>
  </si>
  <si>
    <t>1916.25</t>
  </si>
  <si>
    <t>1023.75</t>
  </si>
  <si>
    <t>147</t>
  </si>
  <si>
    <t>9371.25</t>
  </si>
  <si>
    <t>9486.75</t>
  </si>
  <si>
    <t>2042.25</t>
  </si>
  <si>
    <t>3256.05</t>
  </si>
  <si>
    <t>4544</t>
  </si>
  <si>
    <t>1076</t>
  </si>
  <si>
    <t>900</t>
  </si>
  <si>
    <t>4236.75</t>
  </si>
  <si>
    <t>2800.35</t>
  </si>
  <si>
    <t>4725</t>
  </si>
  <si>
    <t>892</t>
  </si>
  <si>
    <t>5286.75</t>
  </si>
  <si>
    <t>6750</t>
  </si>
  <si>
    <t>800</t>
  </si>
  <si>
    <t>500</t>
  </si>
  <si>
    <t>1496.25</t>
  </si>
  <si>
    <t>13560.65</t>
  </si>
  <si>
    <t>1835</t>
  </si>
  <si>
    <t>3468.15</t>
  </si>
  <si>
    <t>1034.25</t>
  </si>
  <si>
    <t>13960</t>
  </si>
  <si>
    <t>840</t>
  </si>
  <si>
    <t>9502.5</t>
  </si>
  <si>
    <t>7911.75</t>
  </si>
  <si>
    <t>5549.25</t>
  </si>
  <si>
    <t>11837.5</t>
  </si>
  <si>
    <t>1281</t>
  </si>
  <si>
    <t>10536.75</t>
  </si>
  <si>
    <t>1123.5</t>
  </si>
  <si>
    <t>2966.25</t>
  </si>
  <si>
    <t>10925</t>
  </si>
  <si>
    <t>735</t>
  </si>
  <si>
    <t>2241.75</t>
  </si>
  <si>
    <t>6074.25</t>
  </si>
  <si>
    <t>1600</t>
  </si>
  <si>
    <t>2661.75</t>
  </si>
  <si>
    <t>13535</t>
  </si>
  <si>
    <t>12468.75</t>
  </si>
  <si>
    <t>1470</t>
  </si>
  <si>
    <t>12411</t>
  </si>
  <si>
    <t>12900</t>
  </si>
  <si>
    <t>1700</t>
  </si>
  <si>
    <t>7035</t>
  </si>
  <si>
    <t>4750</t>
  </si>
  <si>
    <t>1000</t>
  </si>
  <si>
    <t>9250</t>
  </si>
  <si>
    <t>13057.8</t>
  </si>
  <si>
    <t>5512</t>
  </si>
  <si>
    <t>21971.25</t>
  </si>
  <si>
    <t>4541.25</t>
  </si>
  <si>
    <t>8426.25</t>
  </si>
  <si>
    <t>9087.75</t>
  </si>
  <si>
    <t>13581.75</t>
  </si>
  <si>
    <t>7400</t>
  </si>
  <si>
    <t>7665</t>
  </si>
  <si>
    <t>12035</t>
  </si>
  <si>
    <t>14538.3</t>
  </si>
  <si>
    <t>3241.35</t>
  </si>
  <si>
    <t>1574.37</t>
  </si>
  <si>
    <t>2160</t>
  </si>
  <si>
    <t>1315</t>
  </si>
  <si>
    <t>21567</t>
  </si>
  <si>
    <t>2677.5</t>
  </si>
  <si>
    <t>1191.75</t>
  </si>
  <si>
    <t>6467</t>
  </si>
  <si>
    <t>1388</t>
  </si>
  <si>
    <t>2556.75</t>
  </si>
  <si>
    <t>9743</t>
  </si>
  <si>
    <t>429</t>
  </si>
  <si>
    <t>2082</t>
  </si>
  <si>
    <t>6063.75</t>
  </si>
  <si>
    <t>3050.25</t>
  </si>
  <si>
    <t>158</t>
  </si>
  <si>
    <t>14080</t>
  </si>
  <si>
    <t>1838</t>
  </si>
  <si>
    <t>22384</t>
  </si>
  <si>
    <t>1942</t>
  </si>
  <si>
    <t>7324</t>
  </si>
  <si>
    <t>6025</t>
  </si>
  <si>
    <t>3711.75</t>
  </si>
  <si>
    <t>12006.75</t>
  </si>
  <si>
    <t>9350</t>
  </si>
  <si>
    <t>2986</t>
  </si>
  <si>
    <t>4252.5</t>
  </si>
  <si>
    <t>13875</t>
  </si>
  <si>
    <t>4050</t>
  </si>
  <si>
    <t>162.75</t>
  </si>
  <si>
    <t>970</t>
  </si>
  <si>
    <t>Invoice Amount</t>
  </si>
  <si>
    <t>Payment Amount</t>
  </si>
  <si>
    <t>Payment Type</t>
  </si>
  <si>
    <t>Bank Account</t>
  </si>
  <si>
    <t>Remark</t>
  </si>
  <si>
    <t xml:space="preserve">Cash Deposit </t>
  </si>
  <si>
    <t>Cheque Deposit</t>
  </si>
  <si>
    <t xml:space="preserve">Invoice </t>
  </si>
  <si>
    <t xml:space="preserve">None </t>
  </si>
  <si>
    <t xml:space="preserve">Cheque Payment </t>
  </si>
  <si>
    <t xml:space="preserve">RAK-AED 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</si>
</sst>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AED&quot;#,##0.00"/>
    <numFmt numFmtId="166" formatCode="[$-10000]dd/mm/yyyy;@"/>
    <numFmt numFmtId="167" formatCode="&quot;AED&quot;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4" tint="-0.24994659260841701"/>
      <name val="Calibri"/>
      <family val="2"/>
      <scheme val="maj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Segoe UI"/>
      <family val="2"/>
    </font>
    <font>
      <b/>
      <sz val="11"/>
      <name val="Calibri"/>
      <family val="2"/>
      <scheme val="minor"/>
    </font>
    <font>
      <b/>
      <sz val="15"/>
      <color rgb="FF171717"/>
      <name val="Segoe U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rgb="FF17171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medium">
        <color theme="7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0.39997558519241921"/>
      </bottom>
      <diagonal/>
    </border>
  </borders>
  <cellStyleXfs count="6">
    <xf numFmtId="0" fontId="0" fillId="0" borderId="0">
      <alignment wrapText="1"/>
    </xf>
    <xf numFmtId="164" fontId="1" fillId="0" borderId="0" applyFont="0" applyFill="0" applyBorder="0" applyAlignment="0" applyProtection="0"/>
    <xf numFmtId="0" fontId="2" fillId="0" borderId="0" applyNumberFormat="0" applyFill="0" applyBorder="0" applyProtection="0"/>
    <xf numFmtId="14" fontId="1" fillId="0" borderId="0" applyFont="0" applyFill="0" applyBorder="0" applyAlignment="0">
      <alignment wrapText="1"/>
    </xf>
    <xf numFmtId="0" fontId="4" fillId="0" borderId="0" applyNumberFormat="0" applyFill="0" applyBorder="0" applyAlignment="0" applyProtection="0">
      <alignment wrapText="1"/>
    </xf>
    <xf numFmtId="43" fontId="1" fillId="0" borderId="0" applyFont="0" applyFill="0" applyBorder="0" applyAlignment="0" applyProtection="0"/>
  </cellStyleXfs>
  <cellXfs count="86">
    <xf numFmtId="0" fontId="0" fillId="0" borderId="0" xfId="0">
      <alignment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5" applyFont="1" applyAlignment="1">
      <alignment wrapText="1"/>
    </xf>
    <xf numFmtId="43" fontId="0" fillId="0" borderId="0" xfId="0" applyNumberFormat="1">
      <alignment wrapText="1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4">
      <alignment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5" fontId="7" fillId="2" borderId="3" xfId="0" applyNumberFormat="1" applyFont="1" applyFill="1" applyBorder="1" applyAlignment="1">
      <alignment horizontal="right" vertical="center" wrapText="1"/>
    </xf>
    <xf numFmtId="43" fontId="0" fillId="0" borderId="0" xfId="5" applyFont="1" applyAlignment="1">
      <alignment vertical="center" wrapText="1"/>
    </xf>
    <xf numFmtId="0" fontId="0" fillId="0" borderId="4" xfId="0" applyBorder="1">
      <alignment wrapText="1"/>
    </xf>
    <xf numFmtId="0" fontId="0" fillId="2" borderId="4" xfId="0" applyFill="1" applyBorder="1" applyAlignment="1">
      <alignment horizontal="left" vertical="center"/>
    </xf>
    <xf numFmtId="43" fontId="0" fillId="0" borderId="4" xfId="5" applyFont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2" borderId="1" xfId="0" applyFill="1" applyBorder="1">
      <alignment wrapText="1"/>
    </xf>
    <xf numFmtId="0" fontId="4" fillId="3" borderId="1" xfId="4" applyFill="1" applyBorder="1">
      <alignment wrapText="1"/>
    </xf>
    <xf numFmtId="0" fontId="4" fillId="3" borderId="1" xfId="4" applyFill="1" applyBorder="1" applyAlignment="1">
      <alignment horizontal="left" vertical="center" wrapText="1"/>
    </xf>
    <xf numFmtId="14" fontId="0" fillId="0" borderId="0" xfId="0" applyNumberFormat="1">
      <alignment wrapText="1"/>
    </xf>
    <xf numFmtId="0" fontId="3" fillId="3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14" fontId="3" fillId="3" borderId="1" xfId="3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 wrapText="1"/>
    </xf>
    <xf numFmtId="0" fontId="4" fillId="2" borderId="1" xfId="4" applyFill="1" applyBorder="1">
      <alignment wrapText="1"/>
    </xf>
    <xf numFmtId="14" fontId="3" fillId="2" borderId="1" xfId="3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ill="1" applyBorder="1" applyAlignment="1">
      <alignment horizontal="center" vertical="center" wrapText="1"/>
    </xf>
    <xf numFmtId="165" fontId="4" fillId="3" borderId="1" xfId="4" applyNumberForma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right" vertical="center" wrapText="1"/>
    </xf>
    <xf numFmtId="165" fontId="3" fillId="2" borderId="1" xfId="1" applyNumberFormat="1" applyFont="1" applyFill="1" applyBorder="1" applyAlignment="1">
      <alignment horizontal="right" vertical="center" wrapText="1"/>
    </xf>
    <xf numFmtId="165" fontId="3" fillId="3" borderId="1" xfId="1" applyNumberFormat="1" applyFont="1" applyFill="1" applyBorder="1" applyAlignment="1">
      <alignment horizontal="right" vertical="center" wrapText="1"/>
    </xf>
    <xf numFmtId="167" fontId="3" fillId="2" borderId="1" xfId="1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4" borderId="4" xfId="0" applyFill="1" applyBorder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43" fontId="0" fillId="0" borderId="4" xfId="5" applyFont="1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166" fontId="3" fillId="0" borderId="4" xfId="3" applyNumberFormat="1" applyFont="1" applyFill="1" applyBorder="1" applyAlignment="1">
      <alignment horizontal="right" vertical="center" wrapText="1"/>
    </xf>
    <xf numFmtId="165" fontId="3" fillId="3" borderId="4" xfId="1" applyNumberFormat="1" applyFont="1" applyFill="1" applyBorder="1" applyAlignment="1">
      <alignment horizontal="center" vertical="center" wrapText="1"/>
    </xf>
    <xf numFmtId="165" fontId="3" fillId="2" borderId="4" xfId="1" applyNumberFormat="1" applyFont="1" applyFill="1" applyBorder="1" applyAlignment="1">
      <alignment horizontal="center" vertical="center" wrapText="1"/>
    </xf>
    <xf numFmtId="0" fontId="3" fillId="0" borderId="4" xfId="4" applyFont="1" applyFill="1" applyBorder="1">
      <alignment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right"/>
    </xf>
    <xf numFmtId="14" fontId="3" fillId="0" borderId="4" xfId="3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14" fontId="3" fillId="0" borderId="4" xfId="3" applyFont="1" applyFill="1" applyBorder="1" applyAlignment="1">
      <alignment horizontal="left" vertical="center" wrapText="1"/>
    </xf>
    <xf numFmtId="2" fontId="3" fillId="0" borderId="4" xfId="3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14" fontId="3" fillId="0" borderId="4" xfId="4" applyNumberFormat="1" applyFont="1" applyFill="1" applyBorder="1" applyAlignment="1">
      <alignment horizontal="left" vertical="center"/>
    </xf>
    <xf numFmtId="0" fontId="3" fillId="0" borderId="4" xfId="4" applyFont="1" applyFill="1" applyBorder="1" applyAlignment="1">
      <alignment horizontal="left" vertical="center" wrapText="1"/>
    </xf>
    <xf numFmtId="0" fontId="3" fillId="0" borderId="4" xfId="4" applyFont="1" applyFill="1" applyBorder="1" applyAlignment="1">
      <alignment horizontal="left" vertical="center"/>
    </xf>
    <xf numFmtId="0" fontId="3" fillId="0" borderId="4" xfId="4" applyFont="1" applyFill="1" applyBorder="1" applyAlignment="1">
      <alignment vertical="center" wrapText="1"/>
    </xf>
    <xf numFmtId="0" fontId="3" fillId="0" borderId="4" xfId="0" applyFont="1" applyFill="1" applyBorder="1">
      <alignment wrapText="1"/>
    </xf>
    <xf numFmtId="0" fontId="3" fillId="0" borderId="4" xfId="0" applyFont="1" applyFill="1" applyBorder="1" applyAlignment="1">
      <alignment horizontal="left" wrapText="1"/>
    </xf>
    <xf numFmtId="0" fontId="3" fillId="0" borderId="4" xfId="4" applyFont="1" applyFill="1" applyBorder="1" applyAlignment="1">
      <alignment horizontal="left" vertical="center" wrapText="1" indent="1"/>
    </xf>
    <xf numFmtId="14" fontId="3" fillId="0" borderId="4" xfId="0" applyNumberFormat="1" applyFont="1" applyFill="1" applyBorder="1" applyAlignment="1">
      <alignment horizontal="center" wrapText="1"/>
    </xf>
    <xf numFmtId="2" fontId="3" fillId="0" borderId="4" xfId="0" applyNumberFormat="1" applyFont="1" applyFill="1" applyBorder="1">
      <alignment wrapText="1"/>
    </xf>
    <xf numFmtId="14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2" fontId="3" fillId="0" borderId="4" xfId="3" applyNumberFormat="1" applyFont="1" applyFill="1" applyBorder="1" applyAlignment="1">
      <alignment horizontal="right" vertical="center" wrapText="1"/>
    </xf>
    <xf numFmtId="14" fontId="3" fillId="0" borderId="4" xfId="4" applyNumberFormat="1" applyFont="1" applyFill="1" applyBorder="1" applyAlignment="1">
      <alignment horizontal="left" vertical="center" wrapText="1"/>
    </xf>
    <xf numFmtId="14" fontId="3" fillId="0" borderId="4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Fill="1" applyBorder="1" applyAlignment="1">
      <alignment horizontal="right" vertical="center" wrapText="1"/>
    </xf>
    <xf numFmtId="165" fontId="3" fillId="0" borderId="4" xfId="0" applyNumberFormat="1" applyFont="1" applyFill="1" applyBorder="1" applyAlignment="1">
      <alignment horizontal="right" vertical="center" wrapText="1"/>
    </xf>
    <xf numFmtId="165" fontId="3" fillId="0" borderId="4" xfId="0" applyNumberFormat="1" applyFont="1" applyFill="1" applyBorder="1" applyAlignment="1">
      <alignment vertical="center" wrapText="1"/>
    </xf>
    <xf numFmtId="2" fontId="3" fillId="0" borderId="4" xfId="0" applyNumberFormat="1" applyFont="1" applyFill="1" applyBorder="1" applyAlignment="1">
      <alignment vertical="center" wrapText="1"/>
    </xf>
    <xf numFmtId="165" fontId="3" fillId="0" borderId="4" xfId="5" applyNumberFormat="1" applyFont="1" applyFill="1" applyBorder="1" applyAlignment="1">
      <alignment horizontal="right" vertical="center" wrapText="1"/>
    </xf>
  </cellXfs>
  <cellStyles count="6">
    <cellStyle name="Comma" xfId="5" builtinId="3"/>
    <cellStyle name="Currency" xfId="1" builtinId="4"/>
    <cellStyle name="Date" xfId="3" xr:uid="{00000000-0005-0000-0000-000001000000}"/>
    <cellStyle name="Hyperlink" xfId="4" builtinId="8"/>
    <cellStyle name="Normal" xfId="0" builtinId="0" customBuiltin="1"/>
    <cellStyle name="Title" xfId="2" builtinId="15" customBuiltin="1"/>
  </cellStyles>
  <dxfs count="10"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7"/>
        </top>
      </border>
    </dxf>
    <dxf>
      <font>
        <b/>
        <color theme="1"/>
      </font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</dxfs>
  <tableStyles count="1" defaultTableStyle="TableStyleMedium9" defaultPivotStyle="PivotStyleLight16">
    <tableStyle name="TableStyleMedium26 Edited" pivot="0" count="7" xr9:uid="{8823C602-B3DC-6141-B7C1-3DA1586F3AEB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Sales%20Invoices/SI-25-05-68.pdf" TargetMode="External"/><Relationship Id="rId299" Type="http://schemas.openxmlformats.org/officeDocument/2006/relationships/hyperlink" Target="Sales%20Invoices/SI-24-11-12-1.pdf" TargetMode="External"/><Relationship Id="rId21" Type="http://schemas.openxmlformats.org/officeDocument/2006/relationships/hyperlink" Target="Sales%20Invoices/SI-25-06-85.pdf" TargetMode="External"/><Relationship Id="rId63" Type="http://schemas.openxmlformats.org/officeDocument/2006/relationships/hyperlink" Target="Sales%20Invoices/SI-25-07-10.pdf" TargetMode="External"/><Relationship Id="rId159" Type="http://schemas.openxmlformats.org/officeDocument/2006/relationships/hyperlink" Target="Sales%20Invoices/SI-24-05-119-1.pdf" TargetMode="External"/><Relationship Id="rId324" Type="http://schemas.openxmlformats.org/officeDocument/2006/relationships/hyperlink" Target="Sales%20Invoices/SI-24-08-57.pdf" TargetMode="External"/><Relationship Id="rId170" Type="http://schemas.openxmlformats.org/officeDocument/2006/relationships/hyperlink" Target="Sales%20Invoices/SI-24-09-134.pdf" TargetMode="External"/><Relationship Id="rId226" Type="http://schemas.openxmlformats.org/officeDocument/2006/relationships/hyperlink" Target="Sales%20Invoices/SI-24-12-137.pdf" TargetMode="External"/><Relationship Id="rId268" Type="http://schemas.openxmlformats.org/officeDocument/2006/relationships/hyperlink" Target="Sales%20Invoices/SI-24-09-58.pdf" TargetMode="External"/><Relationship Id="rId32" Type="http://schemas.openxmlformats.org/officeDocument/2006/relationships/hyperlink" Target="Sales%20Invoices/SI-25-08-147.pdf" TargetMode="External"/><Relationship Id="rId74" Type="http://schemas.openxmlformats.org/officeDocument/2006/relationships/hyperlink" Target="Sales%20Invoices/SI-25-06-126.pdf" TargetMode="External"/><Relationship Id="rId128" Type="http://schemas.openxmlformats.org/officeDocument/2006/relationships/hyperlink" Target="Sales%20Invoices/SI-25-05-35.pdf" TargetMode="External"/><Relationship Id="rId335" Type="http://schemas.openxmlformats.org/officeDocument/2006/relationships/hyperlink" Target="Sales%20Invoices/SI-24-07-105.pdf" TargetMode="External"/><Relationship Id="rId5" Type="http://schemas.openxmlformats.org/officeDocument/2006/relationships/hyperlink" Target="Sales%20Invoices/SI-25-08-205-1.pdf" TargetMode="External"/><Relationship Id="rId181" Type="http://schemas.openxmlformats.org/officeDocument/2006/relationships/hyperlink" Target="Sales%20Invoices/SI-25-03-221.pdf" TargetMode="External"/><Relationship Id="rId237" Type="http://schemas.openxmlformats.org/officeDocument/2006/relationships/hyperlink" Target="Sales%20Invoices/SI-24-09-134.pdf" TargetMode="External"/><Relationship Id="rId279" Type="http://schemas.openxmlformats.org/officeDocument/2006/relationships/hyperlink" Target="Sales%20Invoices/SI-24-11-69.pdf" TargetMode="External"/><Relationship Id="rId43" Type="http://schemas.openxmlformats.org/officeDocument/2006/relationships/hyperlink" Target="Sales%20Invoices/SI-25-08-84.pdf" TargetMode="External"/><Relationship Id="rId139" Type="http://schemas.openxmlformats.org/officeDocument/2006/relationships/hyperlink" Target="Sales%20Invoices/SI-25-04-152.pdf" TargetMode="External"/><Relationship Id="rId290" Type="http://schemas.openxmlformats.org/officeDocument/2006/relationships/hyperlink" Target="Sales%20Invoices/SI-24-11-50.pdf" TargetMode="External"/><Relationship Id="rId304" Type="http://schemas.openxmlformats.org/officeDocument/2006/relationships/hyperlink" Target="Sales%20Invoices/SI-24-10-138.pdf" TargetMode="External"/><Relationship Id="rId346" Type="http://schemas.openxmlformats.org/officeDocument/2006/relationships/hyperlink" Target="Sales%20Invoices/SI-24-05-105-1.pdf" TargetMode="External"/><Relationship Id="rId85" Type="http://schemas.openxmlformats.org/officeDocument/2006/relationships/hyperlink" Target="Sales%20Invoices/SI-25-01-1241-25-Payments.pdf" TargetMode="External"/><Relationship Id="rId150" Type="http://schemas.openxmlformats.org/officeDocument/2006/relationships/hyperlink" Target="Sales%20Invoices/SI-24-11-95.pdf" TargetMode="External"/><Relationship Id="rId192" Type="http://schemas.openxmlformats.org/officeDocument/2006/relationships/hyperlink" Target="Sales%20Invoices/SI-24-07-122.pdf" TargetMode="External"/><Relationship Id="rId206" Type="http://schemas.openxmlformats.org/officeDocument/2006/relationships/hyperlink" Target="Sales%20Invoices/SI-24-08-89.pdf" TargetMode="External"/><Relationship Id="rId248" Type="http://schemas.openxmlformats.org/officeDocument/2006/relationships/hyperlink" Target="Sales%20Invoices/SI-25-02-50.pdf" TargetMode="External"/><Relationship Id="rId12" Type="http://schemas.openxmlformats.org/officeDocument/2006/relationships/hyperlink" Target="Sales%20Invoices/SI-25-08-188.pdf" TargetMode="External"/><Relationship Id="rId108" Type="http://schemas.openxmlformats.org/officeDocument/2006/relationships/hyperlink" Target="Sales%20Invoices/SI-25-02-114.pdf" TargetMode="External"/><Relationship Id="rId315" Type="http://schemas.openxmlformats.org/officeDocument/2006/relationships/hyperlink" Target="Sales%20Invoices/SI-24-09-55.pdf" TargetMode="External"/><Relationship Id="rId54" Type="http://schemas.openxmlformats.org/officeDocument/2006/relationships/hyperlink" Target="Sales%20Invoices/SI-25-02-102.pdf" TargetMode="External"/><Relationship Id="rId96" Type="http://schemas.openxmlformats.org/officeDocument/2006/relationships/hyperlink" Target="Sales%20Invoices/SI-25-05-215.pdf" TargetMode="External"/><Relationship Id="rId161" Type="http://schemas.openxmlformats.org/officeDocument/2006/relationships/hyperlink" Target="Sales%20Invoices/SI-24-12-137.pdf" TargetMode="External"/><Relationship Id="rId217" Type="http://schemas.openxmlformats.org/officeDocument/2006/relationships/hyperlink" Target="Sales%20Invoices/SI-25-01-155.pdf" TargetMode="External"/><Relationship Id="rId259" Type="http://schemas.openxmlformats.org/officeDocument/2006/relationships/hyperlink" Target="Sales%20Invoices/SI-25-02-134.pdf" TargetMode="External"/><Relationship Id="rId23" Type="http://schemas.openxmlformats.org/officeDocument/2006/relationships/hyperlink" Target="Sales%20Invoices/SI-25-08-164.pdf" TargetMode="External"/><Relationship Id="rId119" Type="http://schemas.openxmlformats.org/officeDocument/2006/relationships/hyperlink" Target="Sales%20Invoices/SI-25-04-80.pdf" TargetMode="External"/><Relationship Id="rId270" Type="http://schemas.openxmlformats.org/officeDocument/2006/relationships/hyperlink" Target="Sales%20Invoices/SI-25-02-126%20-%20Payment%20Al%20Abaddi.pdf" TargetMode="External"/><Relationship Id="rId326" Type="http://schemas.openxmlformats.org/officeDocument/2006/relationships/hyperlink" Target="Sales%20Invoices/SI-24-08-62-1.pdf" TargetMode="External"/><Relationship Id="rId65" Type="http://schemas.openxmlformats.org/officeDocument/2006/relationships/hyperlink" Target="Sales%20Invoices/SI-25-06-151.pdf" TargetMode="External"/><Relationship Id="rId130" Type="http://schemas.openxmlformats.org/officeDocument/2006/relationships/hyperlink" Target="Sales%20Invoices/SI-25-05-07.pdf" TargetMode="External"/><Relationship Id="rId172" Type="http://schemas.openxmlformats.org/officeDocument/2006/relationships/hyperlink" Target="Sales%20Invoices/SI-25-03-222.pdf" TargetMode="External"/><Relationship Id="rId228" Type="http://schemas.openxmlformats.org/officeDocument/2006/relationships/hyperlink" Target="Sales%20Invoices/SI-25-01-68.pdf" TargetMode="External"/><Relationship Id="rId281" Type="http://schemas.openxmlformats.org/officeDocument/2006/relationships/hyperlink" Target="Sales%20Invoices/SI-24-11-70.pdf" TargetMode="External"/><Relationship Id="rId337" Type="http://schemas.openxmlformats.org/officeDocument/2006/relationships/hyperlink" Target="Sales%20Invoices/SI-24-06-43.pdf" TargetMode="External"/><Relationship Id="rId34" Type="http://schemas.openxmlformats.org/officeDocument/2006/relationships/hyperlink" Target="Sales%20Invoices/SI-25-07-173.pdf" TargetMode="External"/><Relationship Id="rId76" Type="http://schemas.openxmlformats.org/officeDocument/2006/relationships/hyperlink" Target="Sales%20Invoices/SI-25-06-75.pdf" TargetMode="External"/><Relationship Id="rId141" Type="http://schemas.openxmlformats.org/officeDocument/2006/relationships/hyperlink" Target="Sales%20Invoices/SI-25-04-255.pdf" TargetMode="External"/><Relationship Id="rId7" Type="http://schemas.openxmlformats.org/officeDocument/2006/relationships/hyperlink" Target="Sales%20Invoices/SI-25-07-152.pdf" TargetMode="External"/><Relationship Id="rId183" Type="http://schemas.openxmlformats.org/officeDocument/2006/relationships/hyperlink" Target="Sales%20Invoices/SI-25-02-14.pdf" TargetMode="External"/><Relationship Id="rId239" Type="http://schemas.openxmlformats.org/officeDocument/2006/relationships/hyperlink" Target="Sales%20Invoices/SI-24-10-22.pdf" TargetMode="External"/><Relationship Id="rId250" Type="http://schemas.openxmlformats.org/officeDocument/2006/relationships/hyperlink" Target="Sales%20Invoices/SI-25-01-170.pdf" TargetMode="External"/><Relationship Id="rId292" Type="http://schemas.openxmlformats.org/officeDocument/2006/relationships/hyperlink" Target="Sales%20Invoices/SI-24-11-38.pdf" TargetMode="External"/><Relationship Id="rId306" Type="http://schemas.openxmlformats.org/officeDocument/2006/relationships/hyperlink" Target="Sales%20Invoices/SI-24-10-107.pdf" TargetMode="External"/><Relationship Id="rId45" Type="http://schemas.openxmlformats.org/officeDocument/2006/relationships/hyperlink" Target="Sales%20Invoices/SI-25-07-97.pdf" TargetMode="External"/><Relationship Id="rId87" Type="http://schemas.openxmlformats.org/officeDocument/2006/relationships/hyperlink" Target="Sales%20Invoices/SI-25-05-68.pdf" TargetMode="External"/><Relationship Id="rId110" Type="http://schemas.openxmlformats.org/officeDocument/2006/relationships/hyperlink" Target="Sales%20Invoices/SI-25-05-120.pdf" TargetMode="External"/><Relationship Id="rId348" Type="http://schemas.openxmlformats.org/officeDocument/2006/relationships/hyperlink" Target="Sales%20Invoices/SI-24-04-86.pdf" TargetMode="External"/><Relationship Id="rId152" Type="http://schemas.openxmlformats.org/officeDocument/2006/relationships/hyperlink" Target="Sales%20Invoices/SI-25-02-10.pdf" TargetMode="External"/><Relationship Id="rId194" Type="http://schemas.openxmlformats.org/officeDocument/2006/relationships/hyperlink" Target="Sales%20Invoices/SI-24-06-43.pdf" TargetMode="External"/><Relationship Id="rId208" Type="http://schemas.openxmlformats.org/officeDocument/2006/relationships/hyperlink" Target="Sales%20Invoices/SI-24-12-57.pdf" TargetMode="External"/><Relationship Id="rId261" Type="http://schemas.openxmlformats.org/officeDocument/2006/relationships/hyperlink" Target="Sales%20Invoices/SI-24-05-47.pdf" TargetMode="External"/><Relationship Id="rId14" Type="http://schemas.openxmlformats.org/officeDocument/2006/relationships/hyperlink" Target="Sales%20Invoices/SI-25-08-41.pdf" TargetMode="External"/><Relationship Id="rId56" Type="http://schemas.openxmlformats.org/officeDocument/2006/relationships/hyperlink" Target="Sales%20Invoices/SI-25-07-87.pdf" TargetMode="External"/><Relationship Id="rId317" Type="http://schemas.openxmlformats.org/officeDocument/2006/relationships/hyperlink" Target="Sales%20Invoices/SI-24-09-36.pdf" TargetMode="External"/><Relationship Id="rId8" Type="http://schemas.openxmlformats.org/officeDocument/2006/relationships/hyperlink" Target="Sales%20Invoices/SI-25-05-07.pdf" TargetMode="External"/><Relationship Id="rId98" Type="http://schemas.openxmlformats.org/officeDocument/2006/relationships/hyperlink" Target="Sales%20Invoices/SI-25-05-215.pdf" TargetMode="External"/><Relationship Id="rId121" Type="http://schemas.openxmlformats.org/officeDocument/2006/relationships/hyperlink" Target="Sales%20Invoices/SI-25-05-63.pdf" TargetMode="External"/><Relationship Id="rId142" Type="http://schemas.openxmlformats.org/officeDocument/2006/relationships/hyperlink" Target="Sales%20Invoices/SI-25-03-176.pdf" TargetMode="External"/><Relationship Id="rId163" Type="http://schemas.openxmlformats.org/officeDocument/2006/relationships/hyperlink" Target="Sales%20Invoices/SI-25-01-174.pdf" TargetMode="External"/><Relationship Id="rId184" Type="http://schemas.openxmlformats.org/officeDocument/2006/relationships/hyperlink" Target="Sales%20Invoices/SI-25-03-211.pdf" TargetMode="External"/><Relationship Id="rId219" Type="http://schemas.openxmlformats.org/officeDocument/2006/relationships/hyperlink" Target="Sales%20Invoices/SI-24-12-186.pdf" TargetMode="External"/><Relationship Id="rId230" Type="http://schemas.openxmlformats.org/officeDocument/2006/relationships/hyperlink" Target="Sales%20Invoices/SI-25-02-99.pdf" TargetMode="External"/><Relationship Id="rId251" Type="http://schemas.openxmlformats.org/officeDocument/2006/relationships/hyperlink" Target="Sales%20Invoices/SI-25-01-118.pdf" TargetMode="External"/><Relationship Id="rId25" Type="http://schemas.openxmlformats.org/officeDocument/2006/relationships/hyperlink" Target="Sales%20Invoices/SI-25-08-181.pdf" TargetMode="External"/><Relationship Id="rId46" Type="http://schemas.openxmlformats.org/officeDocument/2006/relationships/hyperlink" Target="Sales%20Invoices/SI-25-07-154.pdf" TargetMode="External"/><Relationship Id="rId67" Type="http://schemas.openxmlformats.org/officeDocument/2006/relationships/hyperlink" Target="Sales%20Invoices/SI-25-06-126.pdf" TargetMode="External"/><Relationship Id="rId272" Type="http://schemas.openxmlformats.org/officeDocument/2006/relationships/hyperlink" Target="Sales%20Invoices/SI-25-01-62.pdf" TargetMode="External"/><Relationship Id="rId293" Type="http://schemas.openxmlformats.org/officeDocument/2006/relationships/hyperlink" Target="Sales%20Invoices/SI-24-11-11.pdf" TargetMode="External"/><Relationship Id="rId307" Type="http://schemas.openxmlformats.org/officeDocument/2006/relationships/hyperlink" Target="Sales%20Invoices/SI-24-10-108.pdf" TargetMode="External"/><Relationship Id="rId328" Type="http://schemas.openxmlformats.org/officeDocument/2006/relationships/hyperlink" Target="Sales%20Invoices/SI-24-07-37.pdf" TargetMode="External"/><Relationship Id="rId349" Type="http://schemas.openxmlformats.org/officeDocument/2006/relationships/hyperlink" Target="Sales%20Invoices/SI-24-05-102.pdf" TargetMode="External"/><Relationship Id="rId88" Type="http://schemas.openxmlformats.org/officeDocument/2006/relationships/hyperlink" Target="Sales%20Invoices/SI-25-02-35.pdf" TargetMode="External"/><Relationship Id="rId111" Type="http://schemas.openxmlformats.org/officeDocument/2006/relationships/hyperlink" Target="Sales%20Invoices/SI-25-05-117.pdf" TargetMode="External"/><Relationship Id="rId132" Type="http://schemas.openxmlformats.org/officeDocument/2006/relationships/hyperlink" Target="Sales%20Invoices/SI-25-04-231.pdf" TargetMode="External"/><Relationship Id="rId153" Type="http://schemas.openxmlformats.org/officeDocument/2006/relationships/hyperlink" Target="Sales%20Invoices/SI-25-02-10.pdf" TargetMode="External"/><Relationship Id="rId174" Type="http://schemas.openxmlformats.org/officeDocument/2006/relationships/hyperlink" Target="Sales%20Invoices/SI-25-04-22-1.pdf" TargetMode="External"/><Relationship Id="rId195" Type="http://schemas.openxmlformats.org/officeDocument/2006/relationships/hyperlink" Target="Sales%20Invoices/SI-24-05-134.pdf" TargetMode="External"/><Relationship Id="rId209" Type="http://schemas.openxmlformats.org/officeDocument/2006/relationships/hyperlink" Target="Sales%20Invoices/SI-25-03-75-1.pdf" TargetMode="External"/><Relationship Id="rId220" Type="http://schemas.openxmlformats.org/officeDocument/2006/relationships/hyperlink" Target="Sales%20Invoices/SI-24-12-177.pdf" TargetMode="External"/><Relationship Id="rId241" Type="http://schemas.openxmlformats.org/officeDocument/2006/relationships/hyperlink" Target="Sales%20Invoices/SI-24-10-24.pdf" TargetMode="External"/><Relationship Id="rId15" Type="http://schemas.openxmlformats.org/officeDocument/2006/relationships/hyperlink" Target="Sales%20Invoices/SI-25-08-117.pdf" TargetMode="External"/><Relationship Id="rId36" Type="http://schemas.openxmlformats.org/officeDocument/2006/relationships/hyperlink" Target="Sales%20Invoices/SI-25-08-104.pdf" TargetMode="External"/><Relationship Id="rId57" Type="http://schemas.openxmlformats.org/officeDocument/2006/relationships/hyperlink" Target="Sales%20Invoices/SI-25-07-75.pdf" TargetMode="External"/><Relationship Id="rId262" Type="http://schemas.openxmlformats.org/officeDocument/2006/relationships/hyperlink" Target="Sales%20Invoices/SI-24-05-48.pdf" TargetMode="External"/><Relationship Id="rId283" Type="http://schemas.openxmlformats.org/officeDocument/2006/relationships/hyperlink" Target="Sales%20Invoices/SI-24-10-168-1.pdf" TargetMode="External"/><Relationship Id="rId318" Type="http://schemas.openxmlformats.org/officeDocument/2006/relationships/hyperlink" Target="Sales%20Invoices/SI-24-09-08.pdf" TargetMode="External"/><Relationship Id="rId339" Type="http://schemas.openxmlformats.org/officeDocument/2006/relationships/hyperlink" Target="Sales%20Invoices/SI-24-06-22-1.pdf" TargetMode="External"/><Relationship Id="rId78" Type="http://schemas.openxmlformats.org/officeDocument/2006/relationships/hyperlink" Target="Sales%20Invoices/SI-25-06-151.pdf" TargetMode="External"/><Relationship Id="rId99" Type="http://schemas.openxmlformats.org/officeDocument/2006/relationships/hyperlink" Target="Sales%20Invoices/SI-25-05-216.pdf" TargetMode="External"/><Relationship Id="rId101" Type="http://schemas.openxmlformats.org/officeDocument/2006/relationships/hyperlink" Target="Sales%20Invoices/SI-25-05-119.pdf" TargetMode="External"/><Relationship Id="rId122" Type="http://schemas.openxmlformats.org/officeDocument/2006/relationships/hyperlink" Target="Sales%20Invoices/SI-25-05-63.pdf" TargetMode="External"/><Relationship Id="rId143" Type="http://schemas.openxmlformats.org/officeDocument/2006/relationships/hyperlink" Target="Sales%20Invoices/SI-24-12-63.pdf" TargetMode="External"/><Relationship Id="rId164" Type="http://schemas.openxmlformats.org/officeDocument/2006/relationships/hyperlink" Target="Sales%20Invoices/SI-25-04-81.pdf" TargetMode="External"/><Relationship Id="rId185" Type="http://schemas.openxmlformats.org/officeDocument/2006/relationships/hyperlink" Target="Sales%20Invoices/SI-25-03-45.pdf" TargetMode="External"/><Relationship Id="rId350" Type="http://schemas.openxmlformats.org/officeDocument/2006/relationships/hyperlink" Target="Sales%20Invoices/SI-24-05-101.pdf" TargetMode="External"/><Relationship Id="rId9" Type="http://schemas.openxmlformats.org/officeDocument/2006/relationships/hyperlink" Target="Sales%20Invoices/SI-25-07-152.pdf" TargetMode="External"/><Relationship Id="rId210" Type="http://schemas.openxmlformats.org/officeDocument/2006/relationships/hyperlink" Target="Sales%20Invoices/SI-25-03-66.pdf" TargetMode="External"/><Relationship Id="rId26" Type="http://schemas.openxmlformats.org/officeDocument/2006/relationships/hyperlink" Target="Sales%20Invoices/SI-25-07-54.pdf" TargetMode="External"/><Relationship Id="rId231" Type="http://schemas.openxmlformats.org/officeDocument/2006/relationships/hyperlink" Target="Sales%20Invoices/SI-24-12-63.pdf" TargetMode="External"/><Relationship Id="rId252" Type="http://schemas.openxmlformats.org/officeDocument/2006/relationships/hyperlink" Target="Sales%20Invoices/SI-25-01-38.pdf" TargetMode="External"/><Relationship Id="rId273" Type="http://schemas.openxmlformats.org/officeDocument/2006/relationships/hyperlink" Target="Sales%20Invoices/SI-25-01-62.pdf" TargetMode="External"/><Relationship Id="rId294" Type="http://schemas.openxmlformats.org/officeDocument/2006/relationships/hyperlink" Target="Sales%20Invoices/SI-24-09-08.pdf" TargetMode="External"/><Relationship Id="rId308" Type="http://schemas.openxmlformats.org/officeDocument/2006/relationships/hyperlink" Target="Sales%20Invoices/SI-24-10-78.pdf" TargetMode="External"/><Relationship Id="rId329" Type="http://schemas.openxmlformats.org/officeDocument/2006/relationships/hyperlink" Target="Sales%20Invoices/SI-24-07-123.pdf" TargetMode="External"/><Relationship Id="rId47" Type="http://schemas.openxmlformats.org/officeDocument/2006/relationships/hyperlink" Target="Sales%20Invoices/SI-25-07-152.pdf" TargetMode="External"/><Relationship Id="rId68" Type="http://schemas.openxmlformats.org/officeDocument/2006/relationships/hyperlink" Target="Sales%20Invoices/SI-25-06-164.pdf" TargetMode="External"/><Relationship Id="rId89" Type="http://schemas.openxmlformats.org/officeDocument/2006/relationships/hyperlink" Target="Sales%20Invoices/SI-25-01-15.pdf" TargetMode="External"/><Relationship Id="rId112" Type="http://schemas.openxmlformats.org/officeDocument/2006/relationships/hyperlink" Target="Sales%20Invoices/SI-25-05-141.pdf" TargetMode="External"/><Relationship Id="rId133" Type="http://schemas.openxmlformats.org/officeDocument/2006/relationships/hyperlink" Target="Sales%20Invoices/SI-25-04-230.pdf" TargetMode="External"/><Relationship Id="rId154" Type="http://schemas.openxmlformats.org/officeDocument/2006/relationships/hyperlink" Target="Sales%20Invoices/SI-24-11-109.pdf" TargetMode="External"/><Relationship Id="rId175" Type="http://schemas.openxmlformats.org/officeDocument/2006/relationships/hyperlink" Target="Sales%20Invoices/SI-25-04-20.pdf" TargetMode="External"/><Relationship Id="rId340" Type="http://schemas.openxmlformats.org/officeDocument/2006/relationships/hyperlink" Target="Sales%20Invoices/SI-24-05-134.pdf" TargetMode="External"/><Relationship Id="rId196" Type="http://schemas.openxmlformats.org/officeDocument/2006/relationships/hyperlink" Target="Sales%20Invoices/SI-24-10-17.pdf" TargetMode="External"/><Relationship Id="rId200" Type="http://schemas.openxmlformats.org/officeDocument/2006/relationships/hyperlink" Target="https://rareworks.frappe.cloud/app/sales-invoice/SI-24-10-94" TargetMode="External"/><Relationship Id="rId16" Type="http://schemas.openxmlformats.org/officeDocument/2006/relationships/hyperlink" Target="Sales%20Invoices/SI-25-08-65.pdf" TargetMode="External"/><Relationship Id="rId221" Type="http://schemas.openxmlformats.org/officeDocument/2006/relationships/hyperlink" Target="Sales%20Invoices/SI-25-03-185.pdf" TargetMode="External"/><Relationship Id="rId242" Type="http://schemas.openxmlformats.org/officeDocument/2006/relationships/hyperlink" Target="Sales%20Invoices/SI-24-07-105.pdf" TargetMode="External"/><Relationship Id="rId263" Type="http://schemas.openxmlformats.org/officeDocument/2006/relationships/hyperlink" Target="Sales%20Invoices/SI-24-11-68.pdf" TargetMode="External"/><Relationship Id="rId284" Type="http://schemas.openxmlformats.org/officeDocument/2006/relationships/hyperlink" Target="Sales%20Invoices/SI-24-11-81.pdf" TargetMode="External"/><Relationship Id="rId319" Type="http://schemas.openxmlformats.org/officeDocument/2006/relationships/hyperlink" Target="Sales%20Invoices/SI-24-08-97%201.pdf" TargetMode="External"/><Relationship Id="rId37" Type="http://schemas.openxmlformats.org/officeDocument/2006/relationships/hyperlink" Target="Sales%20Invoices/SI-25-08-103.pdf" TargetMode="External"/><Relationship Id="rId58" Type="http://schemas.openxmlformats.org/officeDocument/2006/relationships/hyperlink" Target="Sales%20Invoices/SI-25-06-178.pdf" TargetMode="External"/><Relationship Id="rId79" Type="http://schemas.openxmlformats.org/officeDocument/2006/relationships/hyperlink" Target="Sales%20Invoices/SI-25-06-78-1.pdf" TargetMode="External"/><Relationship Id="rId102" Type="http://schemas.openxmlformats.org/officeDocument/2006/relationships/hyperlink" Target="Sales%20Invoices/SI-25-05-140.pdf" TargetMode="External"/><Relationship Id="rId123" Type="http://schemas.openxmlformats.org/officeDocument/2006/relationships/hyperlink" Target="Sales%20Invoices/SI-25-05-74.pdf" TargetMode="External"/><Relationship Id="rId144" Type="http://schemas.openxmlformats.org/officeDocument/2006/relationships/hyperlink" Target="Sales%20Invoices/SI-24-12-92.pdf" TargetMode="External"/><Relationship Id="rId330" Type="http://schemas.openxmlformats.org/officeDocument/2006/relationships/hyperlink" Target="Sales%20Invoices/SI-24-07-122.pdf" TargetMode="External"/><Relationship Id="rId90" Type="http://schemas.openxmlformats.org/officeDocument/2006/relationships/hyperlink" Target="Sales%20Invoices/SI-25-02-60.pdf" TargetMode="External"/><Relationship Id="rId165" Type="http://schemas.openxmlformats.org/officeDocument/2006/relationships/hyperlink" Target="Sales%20Invoices/SI-25-04-80.pdf" TargetMode="External"/><Relationship Id="rId186" Type="http://schemas.openxmlformats.org/officeDocument/2006/relationships/hyperlink" Target="Sales%20Invoices/SI-25-02-47.pdf" TargetMode="External"/><Relationship Id="rId351" Type="http://schemas.openxmlformats.org/officeDocument/2006/relationships/printerSettings" Target="../printerSettings/printerSettings1.bin"/><Relationship Id="rId211" Type="http://schemas.openxmlformats.org/officeDocument/2006/relationships/hyperlink" Target="Sales%20Invoices/SI-24-11-37.pdf" TargetMode="External"/><Relationship Id="rId232" Type="http://schemas.openxmlformats.org/officeDocument/2006/relationships/hyperlink" Target="Sales%20Invoices/SI-25-03-131.pdf" TargetMode="External"/><Relationship Id="rId253" Type="http://schemas.openxmlformats.org/officeDocument/2006/relationships/hyperlink" Target="Sales%20Invoices/SI-25-02-46.pdf" TargetMode="External"/><Relationship Id="rId274" Type="http://schemas.openxmlformats.org/officeDocument/2006/relationships/hyperlink" Target="Sales%20Invoices/SI-24-11-12-1.pdf" TargetMode="External"/><Relationship Id="rId295" Type="http://schemas.openxmlformats.org/officeDocument/2006/relationships/hyperlink" Target="Sales%20Invoices/SI-24-10-45.pdf" TargetMode="External"/><Relationship Id="rId309" Type="http://schemas.openxmlformats.org/officeDocument/2006/relationships/hyperlink" Target="Sales%20Invoices/SI-24-10-49.pdf" TargetMode="External"/><Relationship Id="rId27" Type="http://schemas.openxmlformats.org/officeDocument/2006/relationships/hyperlink" Target="Sales%20Invoices/SI-25-08-174.pdf" TargetMode="External"/><Relationship Id="rId48" Type="http://schemas.openxmlformats.org/officeDocument/2006/relationships/hyperlink" Target="Sales%20Invoices/SI-25-07-153.pdf" TargetMode="External"/><Relationship Id="rId69" Type="http://schemas.openxmlformats.org/officeDocument/2006/relationships/hyperlink" Target="Sales%20Invoices/SI-25-06-165.pdf" TargetMode="External"/><Relationship Id="rId113" Type="http://schemas.openxmlformats.org/officeDocument/2006/relationships/hyperlink" Target="Sales%20Invoices/SI-25-05-18.pdf" TargetMode="External"/><Relationship Id="rId134" Type="http://schemas.openxmlformats.org/officeDocument/2006/relationships/hyperlink" Target="Sales%20Invoices/SI-25-04-234.pdf" TargetMode="External"/><Relationship Id="rId320" Type="http://schemas.openxmlformats.org/officeDocument/2006/relationships/hyperlink" Target="Sales%20Invoices/SI-24-07-92-1.pdf" TargetMode="External"/><Relationship Id="rId80" Type="http://schemas.openxmlformats.org/officeDocument/2006/relationships/hyperlink" Target="Sales%20Invoices/SI-25-02-60.pdf" TargetMode="External"/><Relationship Id="rId155" Type="http://schemas.openxmlformats.org/officeDocument/2006/relationships/hyperlink" Target="Sales%20Invoices/SI-25-01-158.pdf" TargetMode="External"/><Relationship Id="rId176" Type="http://schemas.openxmlformats.org/officeDocument/2006/relationships/hyperlink" Target="Sales%20Invoices/SI-25-03-160.pdf" TargetMode="External"/><Relationship Id="rId197" Type="http://schemas.openxmlformats.org/officeDocument/2006/relationships/hyperlink" Target="Sales%20Invoices/SI-24-10-78.pdf" TargetMode="External"/><Relationship Id="rId341" Type="http://schemas.openxmlformats.org/officeDocument/2006/relationships/hyperlink" Target="Sales%20Invoices/SI-24-05-117-2.pdf" TargetMode="External"/><Relationship Id="rId201" Type="http://schemas.openxmlformats.org/officeDocument/2006/relationships/hyperlink" Target="Sales%20Invoices/SI-24-07-103.pdf" TargetMode="External"/><Relationship Id="rId222" Type="http://schemas.openxmlformats.org/officeDocument/2006/relationships/hyperlink" Target="Sales%20Invoices/SI-25-03-160.pdf" TargetMode="External"/><Relationship Id="rId243" Type="http://schemas.openxmlformats.org/officeDocument/2006/relationships/hyperlink" Target="Sales%20Invoices/SI-24-05-101.pdf" TargetMode="External"/><Relationship Id="rId264" Type="http://schemas.openxmlformats.org/officeDocument/2006/relationships/hyperlink" Target="Sales%20Invoices/SI-24-11-61.pdf" TargetMode="External"/><Relationship Id="rId285" Type="http://schemas.openxmlformats.org/officeDocument/2006/relationships/hyperlink" Target="Sales%20Invoices/SI-24-04-86.pdf" TargetMode="External"/><Relationship Id="rId17" Type="http://schemas.openxmlformats.org/officeDocument/2006/relationships/hyperlink" Target="Sales%20Invoices/SI-25-08-64.pdf" TargetMode="External"/><Relationship Id="rId38" Type="http://schemas.openxmlformats.org/officeDocument/2006/relationships/hyperlink" Target="Sales%20Invoices/SI-25-07-171.pdf" TargetMode="External"/><Relationship Id="rId59" Type="http://schemas.openxmlformats.org/officeDocument/2006/relationships/hyperlink" Target="Sales%20Invoices/SI-25-07-42.pdf" TargetMode="External"/><Relationship Id="rId103" Type="http://schemas.openxmlformats.org/officeDocument/2006/relationships/hyperlink" Target="Sales%20Invoices/SI-25-05-143.pdf" TargetMode="External"/><Relationship Id="rId124" Type="http://schemas.openxmlformats.org/officeDocument/2006/relationships/hyperlink" Target="Sales%20Invoices/SI-25-05-68.pdf" TargetMode="External"/><Relationship Id="rId310" Type="http://schemas.openxmlformats.org/officeDocument/2006/relationships/hyperlink" Target="Sales%20Invoices/SI-24-10-50.pdf" TargetMode="External"/><Relationship Id="rId70" Type="http://schemas.openxmlformats.org/officeDocument/2006/relationships/hyperlink" Target="Sales%20Invoices/SI-25-06-165.pdf" TargetMode="External"/><Relationship Id="rId91" Type="http://schemas.openxmlformats.org/officeDocument/2006/relationships/hyperlink" Target="Sales%20Invoices/SI-25-05-58.pdf" TargetMode="External"/><Relationship Id="rId145" Type="http://schemas.openxmlformats.org/officeDocument/2006/relationships/hyperlink" Target="Sales%20Invoices/SI-25-01-14.pdf" TargetMode="External"/><Relationship Id="rId166" Type="http://schemas.openxmlformats.org/officeDocument/2006/relationships/hyperlink" Target="Sales%20Invoices/SI-25-04-70.pdf" TargetMode="External"/><Relationship Id="rId187" Type="http://schemas.openxmlformats.org/officeDocument/2006/relationships/hyperlink" Target="Sales%20Invoices/SI-24-05-102.pdf" TargetMode="External"/><Relationship Id="rId331" Type="http://schemas.openxmlformats.org/officeDocument/2006/relationships/hyperlink" Target="Sales%20Invoices/SI-24-07-121.pdf" TargetMode="External"/><Relationship Id="rId1" Type="http://schemas.openxmlformats.org/officeDocument/2006/relationships/hyperlink" Target="../../OneDrive%20-%20Irys%20Pte.%20Ltd/Account%20Details/Sales%20Invoices/SI-25-09-04.pdf" TargetMode="External"/><Relationship Id="rId212" Type="http://schemas.openxmlformats.org/officeDocument/2006/relationships/hyperlink" Target="Sales%20Invoices/SI-24-10-168-1.pdf" TargetMode="External"/><Relationship Id="rId233" Type="http://schemas.openxmlformats.org/officeDocument/2006/relationships/hyperlink" Target="Sales%20Invoices/SI-25-01-41.pdf" TargetMode="External"/><Relationship Id="rId254" Type="http://schemas.openxmlformats.org/officeDocument/2006/relationships/hyperlink" Target="Sales%20Invoices/SI-24-11-38.pdf" TargetMode="External"/><Relationship Id="rId28" Type="http://schemas.openxmlformats.org/officeDocument/2006/relationships/hyperlink" Target="Sales%20Invoices/SI-25-07-25-1.pdf" TargetMode="External"/><Relationship Id="rId49" Type="http://schemas.openxmlformats.org/officeDocument/2006/relationships/hyperlink" Target="Sales%20Invoices/SI-25-07-128.pdf" TargetMode="External"/><Relationship Id="rId114" Type="http://schemas.openxmlformats.org/officeDocument/2006/relationships/hyperlink" Target="Sales%20Invoices/SI-25-01-82.pdf" TargetMode="External"/><Relationship Id="rId275" Type="http://schemas.openxmlformats.org/officeDocument/2006/relationships/hyperlink" Target="Sales%20Invoices/SI-24-09-36.pdf" TargetMode="External"/><Relationship Id="rId296" Type="http://schemas.openxmlformats.org/officeDocument/2006/relationships/hyperlink" Target="Sales%20Invoices/SI-24-11-52.pdf" TargetMode="External"/><Relationship Id="rId300" Type="http://schemas.openxmlformats.org/officeDocument/2006/relationships/hyperlink" Target="Sales%20Invoices/SI-24-11-05.pdf" TargetMode="External"/><Relationship Id="rId60" Type="http://schemas.openxmlformats.org/officeDocument/2006/relationships/hyperlink" Target="Sales%20Invoices/SI-25-07-15.pdf" TargetMode="External"/><Relationship Id="rId81" Type="http://schemas.openxmlformats.org/officeDocument/2006/relationships/hyperlink" Target="Sales%20Invoices/SI-25-06-100.pdf" TargetMode="External"/><Relationship Id="rId135" Type="http://schemas.openxmlformats.org/officeDocument/2006/relationships/hyperlink" Target="Sales%20Invoices/SI-25-05-64.pdf" TargetMode="External"/><Relationship Id="rId156" Type="http://schemas.openxmlformats.org/officeDocument/2006/relationships/hyperlink" Target="Sales%20Invoices/SI-25-01-158.pdf" TargetMode="External"/><Relationship Id="rId177" Type="http://schemas.openxmlformats.org/officeDocument/2006/relationships/hyperlink" Target="Sales%20Invoices/SI-25-03-160.pdf" TargetMode="External"/><Relationship Id="rId198" Type="http://schemas.openxmlformats.org/officeDocument/2006/relationships/hyperlink" Target="Sales%20Invoices/SI-24-06-23-1.pdf" TargetMode="External"/><Relationship Id="rId321" Type="http://schemas.openxmlformats.org/officeDocument/2006/relationships/hyperlink" Target="Sales%20Invoices/SI-24-08-93.pdf" TargetMode="External"/><Relationship Id="rId342" Type="http://schemas.openxmlformats.org/officeDocument/2006/relationships/hyperlink" Target="Sales%20Invoices/SI-24-05-115-1.pdf" TargetMode="External"/><Relationship Id="rId202" Type="http://schemas.openxmlformats.org/officeDocument/2006/relationships/hyperlink" Target="Sales%20Invoices/SI-24-07-92-1.pdf" TargetMode="External"/><Relationship Id="rId223" Type="http://schemas.openxmlformats.org/officeDocument/2006/relationships/hyperlink" Target="Sales%20Invoices/SI-25-03-151.pdf" TargetMode="External"/><Relationship Id="rId244" Type="http://schemas.openxmlformats.org/officeDocument/2006/relationships/hyperlink" Target="Sales%20Invoices/SI-24-10-49.pdf" TargetMode="External"/><Relationship Id="rId18" Type="http://schemas.openxmlformats.org/officeDocument/2006/relationships/hyperlink" Target="Sales%20Invoices/SI-25-08-40.pdf" TargetMode="External"/><Relationship Id="rId39" Type="http://schemas.openxmlformats.org/officeDocument/2006/relationships/hyperlink" Target="Sales%20Invoices/SI-25-07-170.pdf" TargetMode="External"/><Relationship Id="rId265" Type="http://schemas.openxmlformats.org/officeDocument/2006/relationships/hyperlink" Target="Sales%20Invoices/SI-25-01-42-Payment.pdf" TargetMode="External"/><Relationship Id="rId286" Type="http://schemas.openxmlformats.org/officeDocument/2006/relationships/hyperlink" Target="Sales%20Invoices/SI-24-11-70.pdf" TargetMode="External"/><Relationship Id="rId50" Type="http://schemas.openxmlformats.org/officeDocument/2006/relationships/hyperlink" Target="Sales%20Invoices/SI-25-07-126.pdf" TargetMode="External"/><Relationship Id="rId104" Type="http://schemas.openxmlformats.org/officeDocument/2006/relationships/hyperlink" Target="Sales%20Invoices/SI-25-05-140.pdf" TargetMode="External"/><Relationship Id="rId125" Type="http://schemas.openxmlformats.org/officeDocument/2006/relationships/hyperlink" Target="Sales%20Invoices/SI-25-05-70.pdf" TargetMode="External"/><Relationship Id="rId146" Type="http://schemas.openxmlformats.org/officeDocument/2006/relationships/hyperlink" Target="Sales%20Invoices/SI-25-04-243.pdf" TargetMode="External"/><Relationship Id="rId167" Type="http://schemas.openxmlformats.org/officeDocument/2006/relationships/hyperlink" Target="Sales%20Invoices/SI-25-01-125.pdf" TargetMode="External"/><Relationship Id="rId188" Type="http://schemas.openxmlformats.org/officeDocument/2006/relationships/hyperlink" Target="Sales%20Invoices/SI-24-05-105-1.pdf" TargetMode="External"/><Relationship Id="rId311" Type="http://schemas.openxmlformats.org/officeDocument/2006/relationships/hyperlink" Target="Sales%20Invoices/SI-24-10-17.pdf" TargetMode="External"/><Relationship Id="rId332" Type="http://schemas.openxmlformats.org/officeDocument/2006/relationships/hyperlink" Target="Sales%20Invoices/SI-24-08-30.pdf" TargetMode="External"/><Relationship Id="rId71" Type="http://schemas.openxmlformats.org/officeDocument/2006/relationships/hyperlink" Target="Sales%20Invoices/SI-25-06-164.pdf" TargetMode="External"/><Relationship Id="rId92" Type="http://schemas.openxmlformats.org/officeDocument/2006/relationships/hyperlink" Target="Sales%20Invoices/SI-25-05-58.pdf" TargetMode="External"/><Relationship Id="rId213" Type="http://schemas.openxmlformats.org/officeDocument/2006/relationships/hyperlink" Target="Sales%20Invoices/SI-25-03-161-1.pdf" TargetMode="External"/><Relationship Id="rId234" Type="http://schemas.openxmlformats.org/officeDocument/2006/relationships/hyperlink" Target="Sales%20Invoices/SI-24-10-138.pdf" TargetMode="External"/><Relationship Id="rId2" Type="http://schemas.openxmlformats.org/officeDocument/2006/relationships/hyperlink" Target="Sales%20Invoices/SI-25-08-211.pdf" TargetMode="External"/><Relationship Id="rId29" Type="http://schemas.openxmlformats.org/officeDocument/2006/relationships/hyperlink" Target="Sales%20Invoices/SI-25-07-26.pdf" TargetMode="External"/><Relationship Id="rId255" Type="http://schemas.openxmlformats.org/officeDocument/2006/relationships/hyperlink" Target="Sales%20Invoices/SI-24-08-93.pdf" TargetMode="External"/><Relationship Id="rId276" Type="http://schemas.openxmlformats.org/officeDocument/2006/relationships/hyperlink" Target="Sales%20Invoices/SI-24-08-81.pdf" TargetMode="External"/><Relationship Id="rId297" Type="http://schemas.openxmlformats.org/officeDocument/2006/relationships/hyperlink" Target="Sales%20Invoices/SI-24-11-51.pdf" TargetMode="External"/><Relationship Id="rId40" Type="http://schemas.openxmlformats.org/officeDocument/2006/relationships/hyperlink" Target="Sales%20Invoices/SI-25-08-22.pdf" TargetMode="External"/><Relationship Id="rId115" Type="http://schemas.openxmlformats.org/officeDocument/2006/relationships/hyperlink" Target="Sales%20Invoices/SI-25-01-82.pdf" TargetMode="External"/><Relationship Id="rId136" Type="http://schemas.openxmlformats.org/officeDocument/2006/relationships/hyperlink" Target="Sales%20Invoices/SI-25-04-193.pdf" TargetMode="External"/><Relationship Id="rId157" Type="http://schemas.openxmlformats.org/officeDocument/2006/relationships/hyperlink" Target="Sales%20Invoices/SI-25-03-211.pdf" TargetMode="External"/><Relationship Id="rId178" Type="http://schemas.openxmlformats.org/officeDocument/2006/relationships/hyperlink" Target="Sales%20Invoices/SI-25-03-151.pdf" TargetMode="External"/><Relationship Id="rId301" Type="http://schemas.openxmlformats.org/officeDocument/2006/relationships/hyperlink" Target="Sales%20Invoices/SI-24-11-06.pdf" TargetMode="External"/><Relationship Id="rId322" Type="http://schemas.openxmlformats.org/officeDocument/2006/relationships/hyperlink" Target="Sales%20Invoices/SI-24-08-81.pdf" TargetMode="External"/><Relationship Id="rId343" Type="http://schemas.openxmlformats.org/officeDocument/2006/relationships/hyperlink" Target="Sales%20Invoices/SI-24-05-116-1.pdf" TargetMode="External"/><Relationship Id="rId61" Type="http://schemas.openxmlformats.org/officeDocument/2006/relationships/hyperlink" Target="Sales%20Invoices/SI-25-07-12.pdf" TargetMode="External"/><Relationship Id="rId82" Type="http://schemas.openxmlformats.org/officeDocument/2006/relationships/hyperlink" Target="Sales%20Invoices/SI-24-11-11.pdf" TargetMode="External"/><Relationship Id="rId199" Type="http://schemas.openxmlformats.org/officeDocument/2006/relationships/hyperlink" Target="Sales%20Invoices/SI-24-06-22-1.pdf" TargetMode="External"/><Relationship Id="rId203" Type="http://schemas.openxmlformats.org/officeDocument/2006/relationships/hyperlink" Target="Sales%20Invoices/SI-24-08-77.pdf" TargetMode="External"/><Relationship Id="rId19" Type="http://schemas.openxmlformats.org/officeDocument/2006/relationships/hyperlink" Target="Sales%20Invoices/SI-25-08-163.pdf" TargetMode="External"/><Relationship Id="rId224" Type="http://schemas.openxmlformats.org/officeDocument/2006/relationships/hyperlink" Target="Sales%20Invoices/SI-25-03-109.pdf" TargetMode="External"/><Relationship Id="rId245" Type="http://schemas.openxmlformats.org/officeDocument/2006/relationships/hyperlink" Target="Sales%20Invoices/SI-24-10-49.pdf" TargetMode="External"/><Relationship Id="rId266" Type="http://schemas.openxmlformats.org/officeDocument/2006/relationships/hyperlink" Target="Sales%20Invoices/SI-25-01-42.pdf" TargetMode="External"/><Relationship Id="rId287" Type="http://schemas.openxmlformats.org/officeDocument/2006/relationships/hyperlink" Target="Sales%20Invoices/SI-24-11-81.pdf" TargetMode="External"/><Relationship Id="rId30" Type="http://schemas.openxmlformats.org/officeDocument/2006/relationships/hyperlink" Target="Sales%20Invoices/SI-25-08-117.pdf" TargetMode="External"/><Relationship Id="rId105" Type="http://schemas.openxmlformats.org/officeDocument/2006/relationships/hyperlink" Target="Sales%20Invoices/SI-25-05-118.pdf" TargetMode="External"/><Relationship Id="rId126" Type="http://schemas.openxmlformats.org/officeDocument/2006/relationships/hyperlink" Target="Sales%20Invoices/SI-25-05-39.pdf" TargetMode="External"/><Relationship Id="rId147" Type="http://schemas.openxmlformats.org/officeDocument/2006/relationships/hyperlink" Target="Sales%20Invoices/SI-25-04-244.pdf" TargetMode="External"/><Relationship Id="rId168" Type="http://schemas.openxmlformats.org/officeDocument/2006/relationships/hyperlink" Target="Sales%20Invoices/SI-24-10-21.pdf" TargetMode="External"/><Relationship Id="rId312" Type="http://schemas.openxmlformats.org/officeDocument/2006/relationships/hyperlink" Target="Sales%20Invoices/SI-24-10-45.pdf" TargetMode="External"/><Relationship Id="rId333" Type="http://schemas.openxmlformats.org/officeDocument/2006/relationships/hyperlink" Target="Sales%20Invoices/SI-24-08-29.pdf" TargetMode="External"/><Relationship Id="rId51" Type="http://schemas.openxmlformats.org/officeDocument/2006/relationships/hyperlink" Target="Sales%20Invoices/SI-25-07-95.pdf" TargetMode="External"/><Relationship Id="rId72" Type="http://schemas.openxmlformats.org/officeDocument/2006/relationships/hyperlink" Target="Sales%20Invoices/SI-25-06-164.pdf" TargetMode="External"/><Relationship Id="rId93" Type="http://schemas.openxmlformats.org/officeDocument/2006/relationships/hyperlink" Target="Sales%20Invoices/SI-25-06-30.pdf" TargetMode="External"/><Relationship Id="rId189" Type="http://schemas.openxmlformats.org/officeDocument/2006/relationships/hyperlink" Target="Sales%20Invoices/SI-24-09-53.pdf" TargetMode="External"/><Relationship Id="rId3" Type="http://schemas.openxmlformats.org/officeDocument/2006/relationships/hyperlink" Target="Sales%20Invoices/SI-25-08-209.pdf" TargetMode="External"/><Relationship Id="rId214" Type="http://schemas.openxmlformats.org/officeDocument/2006/relationships/hyperlink" Target="Sales%20Invoices/SI-25-03-177-1.pdf" TargetMode="External"/><Relationship Id="rId235" Type="http://schemas.openxmlformats.org/officeDocument/2006/relationships/hyperlink" Target="Sales%20Invoices/SI-24-09-63.pdf" TargetMode="External"/><Relationship Id="rId256" Type="http://schemas.openxmlformats.org/officeDocument/2006/relationships/hyperlink" Target="Sales%20Invoices/SI-24-05-115-1.pdf" TargetMode="External"/><Relationship Id="rId277" Type="http://schemas.openxmlformats.org/officeDocument/2006/relationships/hyperlink" Target="Sales%20Invoices/SI-24-08-30.pdf" TargetMode="External"/><Relationship Id="rId298" Type="http://schemas.openxmlformats.org/officeDocument/2006/relationships/hyperlink" Target="Sales%20Invoices/SI-24-11-55.pdf" TargetMode="External"/><Relationship Id="rId116" Type="http://schemas.openxmlformats.org/officeDocument/2006/relationships/hyperlink" Target="Sales%20Invoices/SI-25-05-18.pdf" TargetMode="External"/><Relationship Id="rId137" Type="http://schemas.openxmlformats.org/officeDocument/2006/relationships/hyperlink" Target="Sales%20Invoices/SI-25-04-194.pdf" TargetMode="External"/><Relationship Id="rId158" Type="http://schemas.openxmlformats.org/officeDocument/2006/relationships/hyperlink" Target="Sales%20Invoices/SI-24-07-103.pdf" TargetMode="External"/><Relationship Id="rId302" Type="http://schemas.openxmlformats.org/officeDocument/2006/relationships/hyperlink" Target="Sales%20Invoices/SI-24-10-147.pdf" TargetMode="External"/><Relationship Id="rId323" Type="http://schemas.openxmlformats.org/officeDocument/2006/relationships/hyperlink" Target="Sales%20Invoices/SI-24-08-89.pdf" TargetMode="External"/><Relationship Id="rId344" Type="http://schemas.openxmlformats.org/officeDocument/2006/relationships/hyperlink" Target="Sales%20Invoices/SI-24-05-47.pdf" TargetMode="External"/><Relationship Id="rId20" Type="http://schemas.openxmlformats.org/officeDocument/2006/relationships/hyperlink" Target="Sales%20Invoices/SI-25-08-141.pdf" TargetMode="External"/><Relationship Id="rId41" Type="http://schemas.openxmlformats.org/officeDocument/2006/relationships/hyperlink" Target="Sales%20Invoices/SI-25-08-80.pdf" TargetMode="External"/><Relationship Id="rId62" Type="http://schemas.openxmlformats.org/officeDocument/2006/relationships/hyperlink" Target="Sales%20Invoices/SI-25-07-11.pdf" TargetMode="External"/><Relationship Id="rId83" Type="http://schemas.openxmlformats.org/officeDocument/2006/relationships/hyperlink" Target="Sales%20Invoices/SI-25-06-145.pdf" TargetMode="External"/><Relationship Id="rId179" Type="http://schemas.openxmlformats.org/officeDocument/2006/relationships/hyperlink" Target="https://rareworks.frappe.cloud/app/sales-order/SAL-ORD-2025-00466-1" TargetMode="External"/><Relationship Id="rId190" Type="http://schemas.openxmlformats.org/officeDocument/2006/relationships/hyperlink" Target="Sales%20Invoices/SI-24-05-113-1.pdf" TargetMode="External"/><Relationship Id="rId204" Type="http://schemas.openxmlformats.org/officeDocument/2006/relationships/hyperlink" Target="Sales%20Invoices/SI-24-11-52.pdf" TargetMode="External"/><Relationship Id="rId225" Type="http://schemas.openxmlformats.org/officeDocument/2006/relationships/hyperlink" Target="Sales%20Invoices/SI-24-09-134.pdf" TargetMode="External"/><Relationship Id="rId246" Type="http://schemas.openxmlformats.org/officeDocument/2006/relationships/hyperlink" Target="Sales%20Invoices/SI-25-03-134.pdf" TargetMode="External"/><Relationship Id="rId267" Type="http://schemas.openxmlformats.org/officeDocument/2006/relationships/hyperlink" Target="Sales%20Invoices/SI-24-12-92.pdf" TargetMode="External"/><Relationship Id="rId288" Type="http://schemas.openxmlformats.org/officeDocument/2006/relationships/hyperlink" Target="Sales%20Invoices/SI-24-11-69.pdf" TargetMode="External"/><Relationship Id="rId106" Type="http://schemas.openxmlformats.org/officeDocument/2006/relationships/hyperlink" Target="Sales%20Invoices/SI-25-02-114.pdf" TargetMode="External"/><Relationship Id="rId127" Type="http://schemas.openxmlformats.org/officeDocument/2006/relationships/hyperlink" Target="Sales%20Invoices/SI-25-05-40.pdf" TargetMode="External"/><Relationship Id="rId313" Type="http://schemas.openxmlformats.org/officeDocument/2006/relationships/hyperlink" Target="Sales%20Invoices/SI-24-09-58.pdf" TargetMode="External"/><Relationship Id="rId10" Type="http://schemas.openxmlformats.org/officeDocument/2006/relationships/hyperlink" Target="Sales%20Invoices/SI-25-08-181.pdf" TargetMode="External"/><Relationship Id="rId31" Type="http://schemas.openxmlformats.org/officeDocument/2006/relationships/hyperlink" Target="Sales%20Invoices/SI-25-08-111.pdf" TargetMode="External"/><Relationship Id="rId52" Type="http://schemas.openxmlformats.org/officeDocument/2006/relationships/hyperlink" Target="Sales%20Invoices/SI-25-07-92.pdf" TargetMode="External"/><Relationship Id="rId73" Type="http://schemas.openxmlformats.org/officeDocument/2006/relationships/hyperlink" Target="Sales%20Invoices/SI-25-06-126.pdf" TargetMode="External"/><Relationship Id="rId94" Type="http://schemas.openxmlformats.org/officeDocument/2006/relationships/hyperlink" Target="Sales%20Invoices/SI-25-06-17.pdf" TargetMode="External"/><Relationship Id="rId148" Type="http://schemas.openxmlformats.org/officeDocument/2006/relationships/hyperlink" Target="Sales%20Invoices/SI-25-04-244.pdf" TargetMode="External"/><Relationship Id="rId169" Type="http://schemas.openxmlformats.org/officeDocument/2006/relationships/hyperlink" Target="Sales%20Invoices/SI-24-10-21.pdf" TargetMode="External"/><Relationship Id="rId334" Type="http://schemas.openxmlformats.org/officeDocument/2006/relationships/hyperlink" Target="Sales%20Invoices/SI-24-07-107.pdf" TargetMode="External"/><Relationship Id="rId4" Type="http://schemas.openxmlformats.org/officeDocument/2006/relationships/hyperlink" Target="Sales%20Invoices/SI-25-08-208.pdf" TargetMode="External"/><Relationship Id="rId180" Type="http://schemas.openxmlformats.org/officeDocument/2006/relationships/hyperlink" Target="Sales%20Invoices/SI-25-03-222.pdf" TargetMode="External"/><Relationship Id="rId215" Type="http://schemas.openxmlformats.org/officeDocument/2006/relationships/hyperlink" Target="Sales%20Invoices/SI-25-03-176.pdf" TargetMode="External"/><Relationship Id="rId236" Type="http://schemas.openxmlformats.org/officeDocument/2006/relationships/hyperlink" Target="Sales%20Invoices/SI-24-09-68.pdf" TargetMode="External"/><Relationship Id="rId257" Type="http://schemas.openxmlformats.org/officeDocument/2006/relationships/hyperlink" Target="Sales%20Invoices/SI-24-05-116-1.pdf" TargetMode="External"/><Relationship Id="rId278" Type="http://schemas.openxmlformats.org/officeDocument/2006/relationships/hyperlink" Target="Sales%20Invoices/SI-24-08-29.pdf" TargetMode="External"/><Relationship Id="rId303" Type="http://schemas.openxmlformats.org/officeDocument/2006/relationships/hyperlink" Target="Sales%20Invoices/SI-24-10-139.pdf" TargetMode="External"/><Relationship Id="rId42" Type="http://schemas.openxmlformats.org/officeDocument/2006/relationships/hyperlink" Target="Sales%20Invoices/SI-25-08-95.pdf" TargetMode="External"/><Relationship Id="rId84" Type="http://schemas.openxmlformats.org/officeDocument/2006/relationships/hyperlink" Target="Sales%20Invoices/SI-24-06-101.pdf" TargetMode="External"/><Relationship Id="rId138" Type="http://schemas.openxmlformats.org/officeDocument/2006/relationships/hyperlink" Target="Sales%20Invoices/SI-25-04-195.pdf" TargetMode="External"/><Relationship Id="rId345" Type="http://schemas.openxmlformats.org/officeDocument/2006/relationships/hyperlink" Target="Sales%20Invoices/SI-24-05-48.pdf" TargetMode="External"/><Relationship Id="rId191" Type="http://schemas.openxmlformats.org/officeDocument/2006/relationships/hyperlink" Target="Sales%20Invoices/SI-24-11-11.pdf" TargetMode="External"/><Relationship Id="rId205" Type="http://schemas.openxmlformats.org/officeDocument/2006/relationships/hyperlink" Target="Sales%20Invoices/SI-24-11-51.pdf" TargetMode="External"/><Relationship Id="rId247" Type="http://schemas.openxmlformats.org/officeDocument/2006/relationships/hyperlink" Target="Sales%20Invoices/SI-25-03-17.pdf" TargetMode="External"/><Relationship Id="rId107" Type="http://schemas.openxmlformats.org/officeDocument/2006/relationships/hyperlink" Target="Sales%20Invoices/SI-25-02-114.pdf" TargetMode="External"/><Relationship Id="rId289" Type="http://schemas.openxmlformats.org/officeDocument/2006/relationships/hyperlink" Target="Sales%20Invoices/SI-24-11-68.pdf" TargetMode="External"/><Relationship Id="rId11" Type="http://schemas.openxmlformats.org/officeDocument/2006/relationships/hyperlink" Target="Sales%20Invoices/SI-25-08-196.pdf" TargetMode="External"/><Relationship Id="rId53" Type="http://schemas.openxmlformats.org/officeDocument/2006/relationships/hyperlink" Target="Sales%20Invoices/SI-25-02-102.pdf" TargetMode="External"/><Relationship Id="rId149" Type="http://schemas.openxmlformats.org/officeDocument/2006/relationships/hyperlink" Target="Sales%20Invoices/SI-25-04-147.pdf" TargetMode="External"/><Relationship Id="rId314" Type="http://schemas.openxmlformats.org/officeDocument/2006/relationships/hyperlink" Target="Sales%20Invoices/SI-24-09-57.pdf" TargetMode="External"/><Relationship Id="rId95" Type="http://schemas.openxmlformats.org/officeDocument/2006/relationships/hyperlink" Target="Sales%20Invoices/SI-25-05-215.pdf" TargetMode="External"/><Relationship Id="rId160" Type="http://schemas.openxmlformats.org/officeDocument/2006/relationships/hyperlink" Target="Sales%20Invoices/SI-24-09-134.pdf" TargetMode="External"/><Relationship Id="rId216" Type="http://schemas.openxmlformats.org/officeDocument/2006/relationships/hyperlink" Target="Sales%20Invoices/SI-25-01-156.pdf" TargetMode="External"/><Relationship Id="rId258" Type="http://schemas.openxmlformats.org/officeDocument/2006/relationships/hyperlink" Target="Sales%20Invoices/SI-25-02-134-Payment.jpg" TargetMode="External"/><Relationship Id="rId22" Type="http://schemas.openxmlformats.org/officeDocument/2006/relationships/hyperlink" Target="Sales%20Invoices/SI-25-08-163.pdf" TargetMode="External"/><Relationship Id="rId64" Type="http://schemas.openxmlformats.org/officeDocument/2006/relationships/hyperlink" Target="Sales%20Invoices/SI-25-06-187.pdf" TargetMode="External"/><Relationship Id="rId118" Type="http://schemas.openxmlformats.org/officeDocument/2006/relationships/hyperlink" Target="Sales%20Invoices/SI-25-05-48.pdf" TargetMode="External"/><Relationship Id="rId325" Type="http://schemas.openxmlformats.org/officeDocument/2006/relationships/hyperlink" Target="Sales%20Invoices/SI-24-08-71.pdf" TargetMode="External"/><Relationship Id="rId171" Type="http://schemas.openxmlformats.org/officeDocument/2006/relationships/hyperlink" Target="Sales%20Invoices/SI-24-09-134.pdf" TargetMode="External"/><Relationship Id="rId227" Type="http://schemas.openxmlformats.org/officeDocument/2006/relationships/hyperlink" Target="Sales%20Invoices/SI-24-05-117-2.pdf" TargetMode="External"/><Relationship Id="rId269" Type="http://schemas.openxmlformats.org/officeDocument/2006/relationships/hyperlink" Target="Sales%20Invoices/SI-24-09-57.pdf" TargetMode="External"/><Relationship Id="rId33" Type="http://schemas.openxmlformats.org/officeDocument/2006/relationships/hyperlink" Target="Sales%20Invoices/SI-25-08-141.pdf" TargetMode="External"/><Relationship Id="rId129" Type="http://schemas.openxmlformats.org/officeDocument/2006/relationships/hyperlink" Target="Sales%20Invoices/SI-25-05-48.pdf" TargetMode="External"/><Relationship Id="rId280" Type="http://schemas.openxmlformats.org/officeDocument/2006/relationships/hyperlink" Target="Sales%20Invoices/SI-24-11-50.pdf" TargetMode="External"/><Relationship Id="rId336" Type="http://schemas.openxmlformats.org/officeDocument/2006/relationships/hyperlink" Target="Sales%20Invoices/SI-24-06-101.pdf" TargetMode="External"/><Relationship Id="rId75" Type="http://schemas.openxmlformats.org/officeDocument/2006/relationships/hyperlink" Target="Sales%20Invoices/SI-25-06-85.pdf" TargetMode="External"/><Relationship Id="rId140" Type="http://schemas.openxmlformats.org/officeDocument/2006/relationships/hyperlink" Target="Sales%20Invoices/SI-25-04-256.pdf" TargetMode="External"/><Relationship Id="rId182" Type="http://schemas.openxmlformats.org/officeDocument/2006/relationships/hyperlink" Target="Sales%20Invoices/SI-25-01-172.pdf" TargetMode="External"/><Relationship Id="rId6" Type="http://schemas.openxmlformats.org/officeDocument/2006/relationships/hyperlink" Target="Sales%20Invoices/SI-25-08-191.pdf" TargetMode="External"/><Relationship Id="rId238" Type="http://schemas.openxmlformats.org/officeDocument/2006/relationships/hyperlink" Target="Sales%20Invoices/SI-24-10-21.pdf" TargetMode="External"/><Relationship Id="rId291" Type="http://schemas.openxmlformats.org/officeDocument/2006/relationships/hyperlink" Target="Sales%20Invoices/SI-24-11-37.pdf" TargetMode="External"/><Relationship Id="rId305" Type="http://schemas.openxmlformats.org/officeDocument/2006/relationships/hyperlink" Target="Sales%20Invoices/SI-24-10-109-1.pdf" TargetMode="External"/><Relationship Id="rId347" Type="http://schemas.openxmlformats.org/officeDocument/2006/relationships/hyperlink" Target="Sales%20Invoices/SI-24-05-113-1.pdf" TargetMode="External"/><Relationship Id="rId44" Type="http://schemas.openxmlformats.org/officeDocument/2006/relationships/hyperlink" Target="Sales%20Invoices/SI-25-08-92.pdf" TargetMode="External"/><Relationship Id="rId86" Type="http://schemas.openxmlformats.org/officeDocument/2006/relationships/hyperlink" Target="Sales%20Invoices/SI-25-01-124.pdf" TargetMode="External"/><Relationship Id="rId151" Type="http://schemas.openxmlformats.org/officeDocument/2006/relationships/hyperlink" Target="Sales%20Invoices/SI-24-11-95.pdf" TargetMode="External"/><Relationship Id="rId193" Type="http://schemas.openxmlformats.org/officeDocument/2006/relationships/hyperlink" Target="Sales%20Invoices/SI-24-07-121.pdf" TargetMode="External"/><Relationship Id="rId207" Type="http://schemas.openxmlformats.org/officeDocument/2006/relationships/hyperlink" Target="Sales%20Invoices/SI-24-12-57.pdf" TargetMode="External"/><Relationship Id="rId249" Type="http://schemas.openxmlformats.org/officeDocument/2006/relationships/hyperlink" Target="Sales%20Invoices/SI-25-01-169.pdf" TargetMode="External"/><Relationship Id="rId13" Type="http://schemas.openxmlformats.org/officeDocument/2006/relationships/hyperlink" Target="Sales%20Invoices/SI-25-08-42.pdf" TargetMode="External"/><Relationship Id="rId109" Type="http://schemas.openxmlformats.org/officeDocument/2006/relationships/hyperlink" Target="Sales%20Invoices/SI-25-05-119.pdf" TargetMode="External"/><Relationship Id="rId260" Type="http://schemas.openxmlformats.org/officeDocument/2006/relationships/hyperlink" Target="Sales%20Invoices/SI-24-09-55.pdf" TargetMode="External"/><Relationship Id="rId316" Type="http://schemas.openxmlformats.org/officeDocument/2006/relationships/hyperlink" Target="Sales%20Invoices/SI-24-09-53.pdf" TargetMode="External"/><Relationship Id="rId55" Type="http://schemas.openxmlformats.org/officeDocument/2006/relationships/hyperlink" Target="Sales%20Invoices/SI-25-02-102.pdf" TargetMode="External"/><Relationship Id="rId97" Type="http://schemas.openxmlformats.org/officeDocument/2006/relationships/hyperlink" Target="Sales%20Invoices/SI-25-05-216.pdf" TargetMode="External"/><Relationship Id="rId120" Type="http://schemas.openxmlformats.org/officeDocument/2006/relationships/hyperlink" Target="Sales%20Invoices/SI-25-05-64.pdf" TargetMode="External"/><Relationship Id="rId162" Type="http://schemas.openxmlformats.org/officeDocument/2006/relationships/hyperlink" Target="Sales%20Invoices/SI-25-04-70.pdf" TargetMode="External"/><Relationship Id="rId218" Type="http://schemas.openxmlformats.org/officeDocument/2006/relationships/hyperlink" Target="Sales%20Invoices/SI-25-03-109.pdf" TargetMode="External"/><Relationship Id="rId271" Type="http://schemas.openxmlformats.org/officeDocument/2006/relationships/hyperlink" Target="Sales%20Invoices/SI-25-02-126.pdf" TargetMode="External"/><Relationship Id="rId24" Type="http://schemas.openxmlformats.org/officeDocument/2006/relationships/hyperlink" Target="Sales%20Invoices/SI-25-08-161.pdf" TargetMode="External"/><Relationship Id="rId66" Type="http://schemas.openxmlformats.org/officeDocument/2006/relationships/hyperlink" Target="Sales%20Invoices/SI-25-06-17.pdf" TargetMode="External"/><Relationship Id="rId131" Type="http://schemas.openxmlformats.org/officeDocument/2006/relationships/hyperlink" Target="Sales%20Invoices/SI-25-04-245.pdf" TargetMode="External"/><Relationship Id="rId327" Type="http://schemas.openxmlformats.org/officeDocument/2006/relationships/hyperlink" Target="Sales%20Invoices/SI-24-08-70.pdf" TargetMode="External"/><Relationship Id="rId173" Type="http://schemas.openxmlformats.org/officeDocument/2006/relationships/hyperlink" Target="Sales%20Invoices/SI-25-04-21-1.pdf" TargetMode="External"/><Relationship Id="rId229" Type="http://schemas.openxmlformats.org/officeDocument/2006/relationships/hyperlink" Target="Sales%20Invoices/SI-25-01-69.pdf" TargetMode="External"/><Relationship Id="rId240" Type="http://schemas.openxmlformats.org/officeDocument/2006/relationships/hyperlink" Target="Sales%20Invoices/SI-24-09-135.pdf" TargetMode="External"/><Relationship Id="rId35" Type="http://schemas.openxmlformats.org/officeDocument/2006/relationships/hyperlink" Target="Sales%20Invoices/SI-25-08-95.pdf" TargetMode="External"/><Relationship Id="rId77" Type="http://schemas.openxmlformats.org/officeDocument/2006/relationships/hyperlink" Target="Sales%20Invoices/SI-25-06-79-1.pdf" TargetMode="External"/><Relationship Id="rId100" Type="http://schemas.openxmlformats.org/officeDocument/2006/relationships/hyperlink" Target="Sales%20Invoices/SI-25-05-143.pdf" TargetMode="External"/><Relationship Id="rId282" Type="http://schemas.openxmlformats.org/officeDocument/2006/relationships/hyperlink" Target="Sales%20Invoices/SI-24-11-61.pdf" TargetMode="External"/><Relationship Id="rId338" Type="http://schemas.openxmlformats.org/officeDocument/2006/relationships/hyperlink" Target="Sales%20Invoices/SI-24-06-23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areworks.frappe.cloud/app/customer/NEW%20VERONA%20FZCO" TargetMode="External"/><Relationship Id="rId3" Type="http://schemas.openxmlformats.org/officeDocument/2006/relationships/hyperlink" Target="https://rareworks.frappe.cloud/app/customer/Solara%20Jewellery%20LLC" TargetMode="External"/><Relationship Id="rId7" Type="http://schemas.openxmlformats.org/officeDocument/2006/relationships/hyperlink" Target="https://rareworks.frappe.cloud/app/customer/Muhebi%20Gold%20and%20Jewellery%20Trading%20LLC" TargetMode="External"/><Relationship Id="rId2" Type="http://schemas.openxmlformats.org/officeDocument/2006/relationships/hyperlink" Target="https://rareworks.frappe.cloud/app/customer/Blue%20Diamond%20Jewellery%20L.L.C" TargetMode="External"/><Relationship Id="rId1" Type="http://schemas.openxmlformats.org/officeDocument/2006/relationships/hyperlink" Target="https://rareworks.frappe.cloud/app/customer/SIERRA%20LUXURY%20JEWELLERY%20TRADING%20L.L.C" TargetMode="External"/><Relationship Id="rId6" Type="http://schemas.openxmlformats.org/officeDocument/2006/relationships/hyperlink" Target="https://rareworks.frappe.cloud/app/customer/NILKANTH%20GOODS%20WHOLESALERS%20L.L.C" TargetMode="External"/><Relationship Id="rId5" Type="http://schemas.openxmlformats.org/officeDocument/2006/relationships/hyperlink" Target="https://rareworks.frappe.cloud/app/customer/Amritlal%20R%20Dhanak%20Jewellers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rareworks.frappe.cloud/app/customer/Lausanne%20Collections%20Jewellery%20Trading%20LLC" TargetMode="External"/><Relationship Id="rId9" Type="http://schemas.openxmlformats.org/officeDocument/2006/relationships/hyperlink" Target="https://rareworks.frappe.cloud/app/customer/Ultra%20Medium%20Sdn.%20Bhd.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Sales%20Invoices/SI-25-05-215.pdf" TargetMode="External"/><Relationship Id="rId2" Type="http://schemas.openxmlformats.org/officeDocument/2006/relationships/hyperlink" Target="Sales%20Invoices/SI-25-05-216.pdf" TargetMode="External"/><Relationship Id="rId1" Type="http://schemas.openxmlformats.org/officeDocument/2006/relationships/hyperlink" Target="Sales%20Invoices/SI-25-05-119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Sales%20Invoices/SI-25-08-174.pdf" TargetMode="External"/><Relationship Id="rId3" Type="http://schemas.openxmlformats.org/officeDocument/2006/relationships/hyperlink" Target="Sales%20Invoices/SI-25-01-15.pdf" TargetMode="External"/><Relationship Id="rId7" Type="http://schemas.openxmlformats.org/officeDocument/2006/relationships/hyperlink" Target="Sales%20Invoices/SI-25-06-100.pdf" TargetMode="External"/><Relationship Id="rId2" Type="http://schemas.openxmlformats.org/officeDocument/2006/relationships/hyperlink" Target="Sales%20Invoices/SI-25-02-60.pdf" TargetMode="External"/><Relationship Id="rId1" Type="http://schemas.openxmlformats.org/officeDocument/2006/relationships/hyperlink" Target="Sales%20Invoices/SI-25-01-14.pdf" TargetMode="External"/><Relationship Id="rId6" Type="http://schemas.openxmlformats.org/officeDocument/2006/relationships/hyperlink" Target="Sales%20Invoices/SI-25-02-60-Cash%20Payent.pdf" TargetMode="External"/><Relationship Id="rId5" Type="http://schemas.openxmlformats.org/officeDocument/2006/relationships/hyperlink" Target="Sales%20Invoices/SI-25-02-60-%20Cash%20Deposit%20to%20IME%201200%20,%20Balance%2060%20Petty%20cash.jpg" TargetMode="External"/><Relationship Id="rId4" Type="http://schemas.openxmlformats.org/officeDocument/2006/relationships/hyperlink" Target="Sales%20Invoices/SI-25-02-60.pdf" TargetMode="External"/><Relationship Id="rId9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7"/>
  <sheetViews>
    <sheetView showGridLines="0" tabSelected="1" zoomScale="86" zoomScaleNormal="86" workbookViewId="0"/>
  </sheetViews>
  <sheetFormatPr defaultColWidth="8.6640625" defaultRowHeight="26.4" customHeight="1" x14ac:dyDescent="0.3"/>
  <cols>
    <col min="1" max="1" width="15.6640625" style="64" customWidth="1"/>
    <col min="2" max="2" width="17.6640625" style="65" customWidth="1"/>
    <col min="3" max="3" width="35.6640625" style="83" customWidth="1"/>
    <col min="4" max="5" width="15.6640625" style="83" customWidth="1"/>
    <col min="6" max="7" width="15.6640625" style="84" customWidth="1"/>
    <col min="8" max="8" width="15.6640625" style="81" customWidth="1"/>
    <col min="9" max="9" width="30.109375" style="84" customWidth="1"/>
    <col min="10" max="10" width="24.44140625" style="63" customWidth="1"/>
    <col min="11" max="16384" width="8.6640625" style="64"/>
  </cols>
  <sheetData>
    <row r="1" spans="1:10" s="56" customFormat="1" ht="26.4" customHeight="1" x14ac:dyDescent="0.3">
      <c r="A1" s="56" t="s">
        <v>1</v>
      </c>
      <c r="B1" s="57" t="s">
        <v>483</v>
      </c>
      <c r="C1" s="57" t="s">
        <v>484</v>
      </c>
      <c r="D1" s="57" t="s">
        <v>485</v>
      </c>
      <c r="E1" s="57" t="s">
        <v>737</v>
      </c>
      <c r="F1" s="57" t="s">
        <v>738</v>
      </c>
      <c r="G1" s="57" t="s">
        <v>5</v>
      </c>
      <c r="H1" s="58" t="s">
        <v>739</v>
      </c>
      <c r="I1" s="57" t="s">
        <v>740</v>
      </c>
      <c r="J1" s="58" t="s">
        <v>741</v>
      </c>
    </row>
    <row r="2" spans="1:10" ht="26.4" customHeight="1" x14ac:dyDescent="0.3">
      <c r="A2" s="59">
        <v>45737</v>
      </c>
      <c r="B2" s="55" t="s">
        <v>229</v>
      </c>
      <c r="C2" s="60" t="s">
        <v>230</v>
      </c>
      <c r="D2" s="61" t="s">
        <v>68</v>
      </c>
      <c r="E2" s="61" t="s">
        <v>486</v>
      </c>
      <c r="F2" s="62">
        <v>0</v>
      </c>
      <c r="G2" s="62"/>
      <c r="H2" s="63" t="s">
        <v>745</v>
      </c>
      <c r="I2" s="62"/>
      <c r="J2" s="52" t="s">
        <v>744</v>
      </c>
    </row>
    <row r="3" spans="1:10" ht="26.4" customHeight="1" x14ac:dyDescent="0.3">
      <c r="A3" s="59">
        <v>45737</v>
      </c>
      <c r="B3" s="55" t="s">
        <v>235</v>
      </c>
      <c r="C3" s="60" t="s">
        <v>230</v>
      </c>
      <c r="D3" s="61" t="s">
        <v>68</v>
      </c>
      <c r="E3" s="61" t="s">
        <v>487</v>
      </c>
      <c r="F3" s="62">
        <v>0</v>
      </c>
      <c r="G3" s="62"/>
      <c r="H3" s="63" t="s">
        <v>745</v>
      </c>
      <c r="I3" s="62"/>
      <c r="J3" s="52" t="s">
        <v>744</v>
      </c>
    </row>
    <row r="4" spans="1:10" ht="26.4" customHeight="1" x14ac:dyDescent="0.3">
      <c r="A4" s="59">
        <v>45742</v>
      </c>
      <c r="B4" s="55" t="s">
        <v>229</v>
      </c>
      <c r="C4" s="60" t="s">
        <v>230</v>
      </c>
      <c r="D4" s="61" t="s">
        <v>68</v>
      </c>
      <c r="E4" s="61" t="s">
        <v>488</v>
      </c>
      <c r="F4" s="62">
        <v>8800</v>
      </c>
      <c r="G4" s="62"/>
      <c r="H4" s="63" t="s">
        <v>211</v>
      </c>
      <c r="I4" s="64" t="s">
        <v>747</v>
      </c>
      <c r="J4" s="63" t="s">
        <v>188</v>
      </c>
    </row>
    <row r="5" spans="1:10" ht="26.4" customHeight="1" x14ac:dyDescent="0.3">
      <c r="A5" s="59">
        <v>45757</v>
      </c>
      <c r="B5" s="55" t="s">
        <v>229</v>
      </c>
      <c r="C5" s="60" t="s">
        <v>230</v>
      </c>
      <c r="D5" s="61" t="s">
        <v>68</v>
      </c>
      <c r="E5" s="61" t="s">
        <v>488</v>
      </c>
      <c r="F5" s="62">
        <v>8932</v>
      </c>
      <c r="G5" s="62"/>
      <c r="H5" s="63" t="s">
        <v>746</v>
      </c>
      <c r="I5" s="64" t="s">
        <v>747</v>
      </c>
      <c r="J5" s="63" t="s">
        <v>188</v>
      </c>
    </row>
    <row r="6" spans="1:10" ht="26.4" customHeight="1" x14ac:dyDescent="0.3">
      <c r="A6" s="59">
        <v>45612</v>
      </c>
      <c r="B6" s="55" t="s">
        <v>124</v>
      </c>
      <c r="C6" s="65" t="s">
        <v>123</v>
      </c>
      <c r="D6" s="61" t="s">
        <v>67</v>
      </c>
      <c r="E6" s="61" t="s">
        <v>489</v>
      </c>
      <c r="F6" s="62">
        <v>0</v>
      </c>
      <c r="G6" s="62"/>
      <c r="H6" s="63" t="s">
        <v>745</v>
      </c>
      <c r="I6" s="62"/>
      <c r="J6" s="52" t="s">
        <v>744</v>
      </c>
    </row>
    <row r="7" spans="1:10" ht="26.4" customHeight="1" x14ac:dyDescent="0.3">
      <c r="A7" s="59">
        <v>45617</v>
      </c>
      <c r="B7" s="55" t="s">
        <v>124</v>
      </c>
      <c r="C7" s="65" t="s">
        <v>123</v>
      </c>
      <c r="D7" s="61" t="s">
        <v>67</v>
      </c>
      <c r="E7" s="61" t="s">
        <v>488</v>
      </c>
      <c r="F7" s="62">
        <v>19588</v>
      </c>
      <c r="G7" s="62"/>
      <c r="H7" s="52" t="s">
        <v>154</v>
      </c>
      <c r="I7" s="64" t="s">
        <v>747</v>
      </c>
      <c r="J7" s="63" t="s">
        <v>188</v>
      </c>
    </row>
    <row r="8" spans="1:10" ht="26.4" customHeight="1" x14ac:dyDescent="0.3">
      <c r="A8" s="59">
        <v>45511</v>
      </c>
      <c r="B8" s="66" t="s">
        <v>36</v>
      </c>
      <c r="C8" s="60" t="s">
        <v>37</v>
      </c>
      <c r="D8" s="61" t="s">
        <v>15</v>
      </c>
      <c r="E8" s="61" t="s">
        <v>490</v>
      </c>
      <c r="F8" s="62">
        <v>0</v>
      </c>
      <c r="G8" s="62"/>
      <c r="H8" s="63" t="s">
        <v>745</v>
      </c>
      <c r="I8" s="62"/>
      <c r="J8" s="52" t="s">
        <v>744</v>
      </c>
    </row>
    <row r="9" spans="1:10" ht="26.4" customHeight="1" x14ac:dyDescent="0.3">
      <c r="A9" s="59">
        <v>45511</v>
      </c>
      <c r="B9" s="66" t="s">
        <v>38</v>
      </c>
      <c r="C9" s="60" t="s">
        <v>37</v>
      </c>
      <c r="D9" s="61" t="s">
        <v>15</v>
      </c>
      <c r="E9" s="61" t="s">
        <v>491</v>
      </c>
      <c r="F9" s="62">
        <v>0</v>
      </c>
      <c r="G9" s="62"/>
      <c r="H9" s="63" t="s">
        <v>745</v>
      </c>
      <c r="I9" s="62"/>
      <c r="J9" s="52" t="s">
        <v>744</v>
      </c>
    </row>
    <row r="10" spans="1:10" ht="26.4" customHeight="1" x14ac:dyDescent="0.3">
      <c r="A10" s="59">
        <v>45526</v>
      </c>
      <c r="B10" s="67" t="s">
        <v>65</v>
      </c>
      <c r="C10" s="65" t="s">
        <v>37</v>
      </c>
      <c r="D10" s="61" t="s">
        <v>15</v>
      </c>
      <c r="E10" s="61" t="s">
        <v>490</v>
      </c>
      <c r="F10" s="62">
        <v>0</v>
      </c>
      <c r="G10" s="62"/>
      <c r="H10" s="63" t="s">
        <v>745</v>
      </c>
      <c r="I10" s="62"/>
      <c r="J10" s="52" t="s">
        <v>744</v>
      </c>
    </row>
    <row r="11" spans="1:10" ht="26.4" customHeight="1" x14ac:dyDescent="0.3">
      <c r="A11" s="59">
        <v>45541</v>
      </c>
      <c r="B11" s="67" t="s">
        <v>76</v>
      </c>
      <c r="C11" s="65" t="s">
        <v>37</v>
      </c>
      <c r="D11" s="61" t="s">
        <v>68</v>
      </c>
      <c r="E11" s="61" t="s">
        <v>490</v>
      </c>
      <c r="F11" s="62">
        <v>0</v>
      </c>
      <c r="G11" s="62"/>
      <c r="H11" s="63" t="s">
        <v>745</v>
      </c>
      <c r="I11" s="62"/>
      <c r="J11" s="52" t="s">
        <v>744</v>
      </c>
    </row>
    <row r="12" spans="1:10" ht="26.4" customHeight="1" x14ac:dyDescent="0.3">
      <c r="A12" s="59">
        <v>45601</v>
      </c>
      <c r="B12" s="55" t="s">
        <v>113</v>
      </c>
      <c r="C12" s="65" t="s">
        <v>37</v>
      </c>
      <c r="D12" s="61" t="s">
        <v>68</v>
      </c>
      <c r="E12" s="61" t="s">
        <v>490</v>
      </c>
      <c r="F12" s="62">
        <v>0</v>
      </c>
      <c r="G12" s="62"/>
      <c r="H12" s="63" t="s">
        <v>745</v>
      </c>
      <c r="I12" s="62"/>
      <c r="J12" s="52" t="s">
        <v>744</v>
      </c>
    </row>
    <row r="13" spans="1:10" ht="26.4" customHeight="1" x14ac:dyDescent="0.3">
      <c r="A13" s="59">
        <v>45666</v>
      </c>
      <c r="B13" s="55" t="s">
        <v>169</v>
      </c>
      <c r="C13" s="65" t="s">
        <v>37</v>
      </c>
      <c r="D13" s="61" t="s">
        <v>68</v>
      </c>
      <c r="E13" s="61" t="s">
        <v>490</v>
      </c>
      <c r="F13" s="62">
        <v>0</v>
      </c>
      <c r="G13" s="62"/>
      <c r="H13" s="63" t="s">
        <v>745</v>
      </c>
      <c r="I13" s="62"/>
      <c r="J13" s="52" t="s">
        <v>744</v>
      </c>
    </row>
    <row r="14" spans="1:10" ht="26.4" customHeight="1" x14ac:dyDescent="0.3">
      <c r="A14" s="59">
        <v>45713</v>
      </c>
      <c r="B14" s="55" t="s">
        <v>213</v>
      </c>
      <c r="C14" s="65" t="s">
        <v>37</v>
      </c>
      <c r="D14" s="61" t="s">
        <v>68</v>
      </c>
      <c r="E14" s="61" t="s">
        <v>492</v>
      </c>
      <c r="F14" s="62">
        <v>0</v>
      </c>
      <c r="G14" s="62"/>
      <c r="H14" s="63" t="s">
        <v>745</v>
      </c>
      <c r="I14" s="62"/>
      <c r="J14" s="52" t="s">
        <v>744</v>
      </c>
    </row>
    <row r="15" spans="1:10" ht="26.4" customHeight="1" x14ac:dyDescent="0.3">
      <c r="A15" s="59">
        <v>45731</v>
      </c>
      <c r="B15" s="55" t="s">
        <v>213</v>
      </c>
      <c r="C15" s="65" t="s">
        <v>37</v>
      </c>
      <c r="D15" s="61" t="s">
        <v>68</v>
      </c>
      <c r="E15" s="61" t="s">
        <v>488</v>
      </c>
      <c r="F15" s="62">
        <v>2982</v>
      </c>
      <c r="G15" s="62"/>
      <c r="H15" s="52" t="s">
        <v>154</v>
      </c>
      <c r="I15" s="64" t="s">
        <v>747</v>
      </c>
      <c r="J15" s="63" t="s">
        <v>188</v>
      </c>
    </row>
    <row r="16" spans="1:10" ht="26.4" customHeight="1" x14ac:dyDescent="0.3">
      <c r="A16" s="59">
        <v>45693</v>
      </c>
      <c r="B16" s="55" t="s">
        <v>169</v>
      </c>
      <c r="C16" s="65" t="s">
        <v>37</v>
      </c>
      <c r="D16" s="61" t="s">
        <v>68</v>
      </c>
      <c r="E16" s="61" t="s">
        <v>488</v>
      </c>
      <c r="F16" s="62">
        <v>3675</v>
      </c>
      <c r="G16" s="62"/>
      <c r="H16" s="52" t="s">
        <v>154</v>
      </c>
      <c r="I16" s="64" t="s">
        <v>747</v>
      </c>
      <c r="J16" s="63" t="s">
        <v>188</v>
      </c>
    </row>
    <row r="17" spans="1:10" ht="26.4" customHeight="1" x14ac:dyDescent="0.3">
      <c r="A17" s="59"/>
      <c r="B17" s="66" t="s">
        <v>36</v>
      </c>
      <c r="C17" s="65" t="s">
        <v>37</v>
      </c>
      <c r="D17" s="61" t="s">
        <v>68</v>
      </c>
      <c r="E17" s="61" t="s">
        <v>488</v>
      </c>
      <c r="F17" s="62">
        <v>3675</v>
      </c>
      <c r="G17" s="62"/>
      <c r="H17" s="52" t="s">
        <v>154</v>
      </c>
      <c r="I17" s="64" t="s">
        <v>747</v>
      </c>
      <c r="J17" s="63" t="s">
        <v>188</v>
      </c>
    </row>
    <row r="18" spans="1:10" ht="26.4" customHeight="1" x14ac:dyDescent="0.3">
      <c r="A18" s="59"/>
      <c r="B18" s="66" t="s">
        <v>38</v>
      </c>
      <c r="C18" s="65" t="s">
        <v>37</v>
      </c>
      <c r="D18" s="61" t="s">
        <v>68</v>
      </c>
      <c r="E18" s="61" t="s">
        <v>488</v>
      </c>
      <c r="F18" s="62">
        <v>1732.5</v>
      </c>
      <c r="G18" s="62"/>
      <c r="H18" s="52" t="s">
        <v>200</v>
      </c>
      <c r="I18" s="64" t="s">
        <v>747</v>
      </c>
      <c r="J18" s="63" t="s">
        <v>188</v>
      </c>
    </row>
    <row r="19" spans="1:10" ht="26.4" customHeight="1" x14ac:dyDescent="0.3">
      <c r="A19" s="59">
        <v>45535</v>
      </c>
      <c r="B19" s="67" t="s">
        <v>65</v>
      </c>
      <c r="C19" s="65" t="s">
        <v>37</v>
      </c>
      <c r="D19" s="61" t="s">
        <v>68</v>
      </c>
      <c r="E19" s="61" t="s">
        <v>488</v>
      </c>
      <c r="F19" s="62">
        <v>3675</v>
      </c>
      <c r="G19" s="62"/>
      <c r="H19" s="52" t="s">
        <v>200</v>
      </c>
      <c r="I19" s="64" t="s">
        <v>747</v>
      </c>
      <c r="J19" s="63" t="s">
        <v>188</v>
      </c>
    </row>
    <row r="20" spans="1:10" ht="26.4" customHeight="1" x14ac:dyDescent="0.3">
      <c r="A20" s="59">
        <v>45558</v>
      </c>
      <c r="B20" s="67" t="s">
        <v>76</v>
      </c>
      <c r="C20" s="65" t="s">
        <v>37</v>
      </c>
      <c r="D20" s="61" t="s">
        <v>68</v>
      </c>
      <c r="E20" s="61" t="s">
        <v>488</v>
      </c>
      <c r="F20" s="62">
        <v>3675</v>
      </c>
      <c r="G20" s="62"/>
      <c r="H20" s="52" t="s">
        <v>200</v>
      </c>
      <c r="I20" s="64" t="s">
        <v>747</v>
      </c>
      <c r="J20" s="63" t="s">
        <v>188</v>
      </c>
    </row>
    <row r="21" spans="1:10" ht="26.4" customHeight="1" x14ac:dyDescent="0.3">
      <c r="A21" s="59">
        <v>45631</v>
      </c>
      <c r="B21" s="55" t="s">
        <v>113</v>
      </c>
      <c r="C21" s="65" t="s">
        <v>37</v>
      </c>
      <c r="D21" s="61" t="s">
        <v>68</v>
      </c>
      <c r="E21" s="61" t="s">
        <v>488</v>
      </c>
      <c r="F21" s="62">
        <v>3675</v>
      </c>
      <c r="G21" s="62"/>
      <c r="H21" s="52" t="s">
        <v>200</v>
      </c>
      <c r="I21" s="64" t="s">
        <v>747</v>
      </c>
      <c r="J21" s="63" t="s">
        <v>188</v>
      </c>
    </row>
    <row r="22" spans="1:10" ht="26.4" customHeight="1" x14ac:dyDescent="0.3">
      <c r="A22" s="59">
        <v>45545</v>
      </c>
      <c r="B22" s="67" t="s">
        <v>80</v>
      </c>
      <c r="C22" s="65" t="s">
        <v>81</v>
      </c>
      <c r="D22" s="61" t="s">
        <v>68</v>
      </c>
      <c r="E22" s="61" t="s">
        <v>493</v>
      </c>
      <c r="F22" s="62">
        <v>0</v>
      </c>
      <c r="G22" s="62"/>
      <c r="H22" s="63" t="s">
        <v>745</v>
      </c>
      <c r="I22" s="62"/>
      <c r="J22" s="52" t="s">
        <v>744</v>
      </c>
    </row>
    <row r="23" spans="1:10" ht="26.4" customHeight="1" x14ac:dyDescent="0.3">
      <c r="A23" s="59"/>
      <c r="B23" s="67" t="s">
        <v>80</v>
      </c>
      <c r="C23" s="65" t="s">
        <v>81</v>
      </c>
      <c r="D23" s="61" t="s">
        <v>68</v>
      </c>
      <c r="E23" s="61" t="s">
        <v>488</v>
      </c>
      <c r="F23" s="62">
        <v>4449.75</v>
      </c>
      <c r="G23" s="62"/>
      <c r="H23" s="52" t="s">
        <v>200</v>
      </c>
      <c r="I23" s="64" t="s">
        <v>747</v>
      </c>
      <c r="J23" s="63" t="s">
        <v>188</v>
      </c>
    </row>
    <row r="24" spans="1:10" ht="26.4" customHeight="1" x14ac:dyDescent="0.3">
      <c r="A24" s="59">
        <v>45546</v>
      </c>
      <c r="B24" s="55" t="s">
        <v>83</v>
      </c>
      <c r="C24" s="65" t="s">
        <v>84</v>
      </c>
      <c r="D24" s="61" t="s">
        <v>68</v>
      </c>
      <c r="E24" s="61" t="s">
        <v>494</v>
      </c>
      <c r="F24" s="62">
        <v>0</v>
      </c>
      <c r="G24" s="62"/>
      <c r="H24" s="63" t="s">
        <v>745</v>
      </c>
      <c r="I24" s="62"/>
      <c r="J24" s="52" t="s">
        <v>744</v>
      </c>
    </row>
    <row r="25" spans="1:10" ht="26.4" customHeight="1" x14ac:dyDescent="0.3">
      <c r="A25" s="59">
        <v>45911</v>
      </c>
      <c r="B25" s="55" t="s">
        <v>83</v>
      </c>
      <c r="C25" s="65" t="s">
        <v>84</v>
      </c>
      <c r="D25" s="61" t="s">
        <v>68</v>
      </c>
      <c r="E25" s="61" t="s">
        <v>488</v>
      </c>
      <c r="F25" s="62">
        <v>25200</v>
      </c>
      <c r="G25" s="62"/>
      <c r="H25" s="52" t="s">
        <v>200</v>
      </c>
      <c r="I25" s="64" t="s">
        <v>747</v>
      </c>
      <c r="J25" s="63" t="s">
        <v>188</v>
      </c>
    </row>
    <row r="26" spans="1:10" ht="26.4" customHeight="1" x14ac:dyDescent="0.3">
      <c r="A26" s="59">
        <v>45609</v>
      </c>
      <c r="B26" s="55" t="s">
        <v>128</v>
      </c>
      <c r="C26" s="65" t="s">
        <v>127</v>
      </c>
      <c r="D26" s="61" t="s">
        <v>67</v>
      </c>
      <c r="E26" s="61" t="s">
        <v>495</v>
      </c>
      <c r="F26" s="62">
        <v>0</v>
      </c>
      <c r="G26" s="62"/>
      <c r="H26" s="63" t="s">
        <v>745</v>
      </c>
      <c r="I26" s="62"/>
      <c r="J26" s="52" t="s">
        <v>744</v>
      </c>
    </row>
    <row r="27" spans="1:10" ht="26.4" customHeight="1" x14ac:dyDescent="0.3">
      <c r="A27" s="59">
        <v>45611</v>
      </c>
      <c r="B27" s="55" t="s">
        <v>126</v>
      </c>
      <c r="C27" s="65" t="s">
        <v>127</v>
      </c>
      <c r="D27" s="61" t="s">
        <v>67</v>
      </c>
      <c r="E27" s="61" t="s">
        <v>496</v>
      </c>
      <c r="F27" s="62">
        <v>0</v>
      </c>
      <c r="G27" s="62"/>
      <c r="H27" s="63" t="s">
        <v>745</v>
      </c>
      <c r="I27" s="62"/>
      <c r="J27" s="52" t="s">
        <v>744</v>
      </c>
    </row>
    <row r="28" spans="1:10" ht="26.4" customHeight="1" x14ac:dyDescent="0.3">
      <c r="A28" s="59">
        <v>45616</v>
      </c>
      <c r="B28" s="55" t="s">
        <v>128</v>
      </c>
      <c r="C28" s="65" t="s">
        <v>127</v>
      </c>
      <c r="D28" s="61" t="s">
        <v>67</v>
      </c>
      <c r="E28" s="61" t="s">
        <v>488</v>
      </c>
      <c r="F28" s="62">
        <v>1732</v>
      </c>
      <c r="G28" s="62"/>
      <c r="H28" s="52" t="s">
        <v>200</v>
      </c>
      <c r="I28" s="64" t="s">
        <v>747</v>
      </c>
      <c r="J28" s="63" t="s">
        <v>188</v>
      </c>
    </row>
    <row r="29" spans="1:10" ht="26.4" customHeight="1" x14ac:dyDescent="0.3">
      <c r="A29" s="59">
        <v>45616</v>
      </c>
      <c r="B29" s="55" t="s">
        <v>126</v>
      </c>
      <c r="C29" s="65" t="s">
        <v>127</v>
      </c>
      <c r="D29" s="61" t="s">
        <v>67</v>
      </c>
      <c r="E29" s="61" t="s">
        <v>488</v>
      </c>
      <c r="F29" s="62">
        <v>16012</v>
      </c>
      <c r="G29" s="62"/>
      <c r="H29" s="52" t="s">
        <v>200</v>
      </c>
      <c r="I29" s="64" t="s">
        <v>747</v>
      </c>
      <c r="J29" s="63" t="s">
        <v>188</v>
      </c>
    </row>
    <row r="30" spans="1:10" ht="26.4" customHeight="1" x14ac:dyDescent="0.3">
      <c r="A30" s="59">
        <v>45637</v>
      </c>
      <c r="B30" s="55" t="s">
        <v>152</v>
      </c>
      <c r="C30" s="65" t="s">
        <v>127</v>
      </c>
      <c r="D30" s="61" t="s">
        <v>67</v>
      </c>
      <c r="E30" s="61" t="s">
        <v>497</v>
      </c>
      <c r="F30" s="62">
        <v>0</v>
      </c>
      <c r="G30" s="62"/>
      <c r="H30" s="63" t="s">
        <v>745</v>
      </c>
      <c r="I30" s="62"/>
      <c r="J30" s="52" t="s">
        <v>744</v>
      </c>
    </row>
    <row r="31" spans="1:10" ht="26.4" customHeight="1" x14ac:dyDescent="0.3">
      <c r="A31" s="59">
        <v>45663</v>
      </c>
      <c r="B31" s="55" t="s">
        <v>166</v>
      </c>
      <c r="C31" s="65" t="s">
        <v>127</v>
      </c>
      <c r="D31" s="61" t="s">
        <v>67</v>
      </c>
      <c r="E31" s="61" t="s">
        <v>498</v>
      </c>
      <c r="F31" s="62">
        <v>0</v>
      </c>
      <c r="G31" s="62"/>
      <c r="H31" s="63" t="s">
        <v>745</v>
      </c>
      <c r="I31" s="62"/>
      <c r="J31" s="52" t="s">
        <v>744</v>
      </c>
    </row>
    <row r="32" spans="1:10" ht="26.4" customHeight="1" x14ac:dyDescent="0.3">
      <c r="A32" s="59">
        <v>45698</v>
      </c>
      <c r="B32" s="55" t="s">
        <v>166</v>
      </c>
      <c r="C32" s="65" t="s">
        <v>127</v>
      </c>
      <c r="D32" s="61" t="s">
        <v>67</v>
      </c>
      <c r="E32" s="61" t="s">
        <v>488</v>
      </c>
      <c r="F32" s="62">
        <v>10500</v>
      </c>
      <c r="G32" s="62"/>
      <c r="H32" s="52" t="s">
        <v>200</v>
      </c>
      <c r="I32" s="64" t="s">
        <v>747</v>
      </c>
      <c r="J32" s="63" t="s">
        <v>188</v>
      </c>
    </row>
    <row r="33" spans="1:10" ht="26.4" customHeight="1" x14ac:dyDescent="0.3">
      <c r="A33" s="59">
        <v>45422</v>
      </c>
      <c r="B33" s="68" t="s">
        <v>14</v>
      </c>
      <c r="C33" s="60" t="s">
        <v>16</v>
      </c>
      <c r="D33" s="61" t="s">
        <v>15</v>
      </c>
      <c r="E33" s="61" t="s">
        <v>499</v>
      </c>
      <c r="F33" s="62">
        <v>0</v>
      </c>
      <c r="G33" s="62"/>
      <c r="H33" s="63" t="s">
        <v>745</v>
      </c>
      <c r="I33" s="62"/>
      <c r="J33" s="52" t="s">
        <v>744</v>
      </c>
    </row>
    <row r="34" spans="1:10" ht="26.4" customHeight="1" x14ac:dyDescent="0.3">
      <c r="A34" s="59">
        <v>45422</v>
      </c>
      <c r="B34" s="68" t="s">
        <v>14</v>
      </c>
      <c r="C34" s="60" t="s">
        <v>16</v>
      </c>
      <c r="D34" s="61" t="s">
        <v>15</v>
      </c>
      <c r="E34" s="61" t="s">
        <v>488</v>
      </c>
      <c r="F34" s="62">
        <v>1575</v>
      </c>
      <c r="G34" s="62"/>
      <c r="H34" s="52" t="s">
        <v>742</v>
      </c>
      <c r="I34" s="64" t="s">
        <v>747</v>
      </c>
      <c r="J34" s="63" t="s">
        <v>188</v>
      </c>
    </row>
    <row r="35" spans="1:10" ht="26.4" customHeight="1" x14ac:dyDescent="0.3">
      <c r="A35" s="59">
        <v>45422</v>
      </c>
      <c r="B35" s="68" t="s">
        <v>17</v>
      </c>
      <c r="C35" s="60" t="s">
        <v>16</v>
      </c>
      <c r="D35" s="61" t="s">
        <v>15</v>
      </c>
      <c r="E35" s="61" t="s">
        <v>500</v>
      </c>
      <c r="F35" s="62">
        <v>0</v>
      </c>
      <c r="G35" s="62"/>
      <c r="H35" s="63" t="s">
        <v>745</v>
      </c>
      <c r="I35" s="62"/>
      <c r="J35" s="52" t="s">
        <v>744</v>
      </c>
    </row>
    <row r="36" spans="1:10" ht="26.4" customHeight="1" x14ac:dyDescent="0.3">
      <c r="A36" s="59">
        <v>45422</v>
      </c>
      <c r="B36" s="68" t="s">
        <v>17</v>
      </c>
      <c r="C36" s="60" t="s">
        <v>16</v>
      </c>
      <c r="D36" s="61" t="s">
        <v>15</v>
      </c>
      <c r="E36" s="61" t="s">
        <v>488</v>
      </c>
      <c r="F36" s="62">
        <v>27426</v>
      </c>
      <c r="G36" s="62"/>
      <c r="H36" s="52" t="s">
        <v>200</v>
      </c>
      <c r="I36" s="64" t="s">
        <v>747</v>
      </c>
      <c r="J36" s="63" t="s">
        <v>188</v>
      </c>
    </row>
    <row r="37" spans="1:10" ht="26.4" customHeight="1" x14ac:dyDescent="0.3">
      <c r="A37" s="59">
        <v>45545</v>
      </c>
      <c r="B37" s="67" t="s">
        <v>79</v>
      </c>
      <c r="C37" s="65" t="s">
        <v>16</v>
      </c>
      <c r="D37" s="61" t="s">
        <v>68</v>
      </c>
      <c r="E37" s="61" t="s">
        <v>501</v>
      </c>
      <c r="F37" s="62">
        <v>0</v>
      </c>
      <c r="G37" s="62"/>
      <c r="H37" s="63" t="s">
        <v>745</v>
      </c>
      <c r="I37" s="62"/>
      <c r="J37" s="52" t="s">
        <v>744</v>
      </c>
    </row>
    <row r="38" spans="1:10" ht="26.4" customHeight="1" x14ac:dyDescent="0.3">
      <c r="A38" s="59">
        <v>45545</v>
      </c>
      <c r="B38" s="67" t="s">
        <v>79</v>
      </c>
      <c r="C38" s="65" t="s">
        <v>16</v>
      </c>
      <c r="D38" s="61" t="s">
        <v>68</v>
      </c>
      <c r="E38" s="61" t="s">
        <v>488</v>
      </c>
      <c r="F38" s="62">
        <v>6106.25</v>
      </c>
      <c r="G38" s="62"/>
      <c r="H38" s="52" t="s">
        <v>200</v>
      </c>
      <c r="I38" s="64" t="s">
        <v>747</v>
      </c>
      <c r="J38" s="63" t="s">
        <v>188</v>
      </c>
    </row>
    <row r="39" spans="1:10" ht="26.4" customHeight="1" x14ac:dyDescent="0.3">
      <c r="A39" s="59">
        <v>45716</v>
      </c>
      <c r="B39" s="55" t="s">
        <v>216</v>
      </c>
      <c r="C39" s="65" t="s">
        <v>217</v>
      </c>
      <c r="D39" s="61" t="s">
        <v>68</v>
      </c>
      <c r="E39" s="61" t="s">
        <v>502</v>
      </c>
      <c r="F39" s="62">
        <v>0</v>
      </c>
      <c r="G39" s="62"/>
      <c r="H39" s="63" t="s">
        <v>745</v>
      </c>
      <c r="I39" s="62"/>
      <c r="J39" s="52" t="s">
        <v>744</v>
      </c>
    </row>
    <row r="40" spans="1:10" ht="26.4" customHeight="1" x14ac:dyDescent="0.3">
      <c r="A40" s="59">
        <v>45716</v>
      </c>
      <c r="B40" s="55" t="s">
        <v>216</v>
      </c>
      <c r="C40" s="65" t="s">
        <v>217</v>
      </c>
      <c r="D40" s="61" t="s">
        <v>68</v>
      </c>
      <c r="E40" s="61" t="s">
        <v>488</v>
      </c>
      <c r="F40" s="62">
        <v>630</v>
      </c>
      <c r="G40" s="62"/>
      <c r="H40" s="52" t="s">
        <v>211</v>
      </c>
      <c r="I40" s="64" t="s">
        <v>747</v>
      </c>
      <c r="J40" s="63" t="s">
        <v>188</v>
      </c>
    </row>
    <row r="41" spans="1:10" ht="26.4" customHeight="1" x14ac:dyDescent="0.3">
      <c r="A41" s="59">
        <v>45436</v>
      </c>
      <c r="B41" s="68" t="s">
        <v>19</v>
      </c>
      <c r="C41" s="60" t="s">
        <v>20</v>
      </c>
      <c r="D41" s="61" t="s">
        <v>15</v>
      </c>
      <c r="E41" s="61" t="s">
        <v>503</v>
      </c>
      <c r="F41" s="62">
        <v>0</v>
      </c>
      <c r="G41" s="62"/>
      <c r="H41" s="63" t="s">
        <v>745</v>
      </c>
      <c r="I41" s="62"/>
      <c r="J41" s="52" t="s">
        <v>744</v>
      </c>
    </row>
    <row r="42" spans="1:10" ht="26.4" customHeight="1" x14ac:dyDescent="0.3">
      <c r="A42" s="59">
        <v>45436</v>
      </c>
      <c r="B42" s="68" t="s">
        <v>19</v>
      </c>
      <c r="C42" s="60" t="s">
        <v>20</v>
      </c>
      <c r="D42" s="61" t="s">
        <v>15</v>
      </c>
      <c r="E42" s="61" t="s">
        <v>488</v>
      </c>
      <c r="F42" s="62">
        <v>1270</v>
      </c>
      <c r="G42" s="62"/>
      <c r="H42" s="63" t="s">
        <v>211</v>
      </c>
      <c r="I42" s="64" t="s">
        <v>747</v>
      </c>
      <c r="J42" s="63" t="s">
        <v>188</v>
      </c>
    </row>
    <row r="43" spans="1:10" ht="26.4" customHeight="1" x14ac:dyDescent="0.3">
      <c r="A43" s="59">
        <v>45436</v>
      </c>
      <c r="B43" s="68" t="s">
        <v>21</v>
      </c>
      <c r="C43" s="60" t="s">
        <v>20</v>
      </c>
      <c r="D43" s="61" t="s">
        <v>15</v>
      </c>
      <c r="E43" s="61" t="s">
        <v>504</v>
      </c>
      <c r="F43" s="62">
        <v>0</v>
      </c>
      <c r="G43" s="62"/>
      <c r="H43" s="63" t="s">
        <v>745</v>
      </c>
      <c r="I43" s="62"/>
      <c r="J43" s="52" t="s">
        <v>744</v>
      </c>
    </row>
    <row r="44" spans="1:10" ht="26.4" customHeight="1" x14ac:dyDescent="0.3">
      <c r="A44" s="59">
        <v>45436</v>
      </c>
      <c r="B44" s="68" t="s">
        <v>21</v>
      </c>
      <c r="C44" s="60" t="s">
        <v>20</v>
      </c>
      <c r="D44" s="61" t="s">
        <v>15</v>
      </c>
      <c r="E44" s="61" t="s">
        <v>488</v>
      </c>
      <c r="F44" s="62">
        <v>33768</v>
      </c>
      <c r="G44" s="62"/>
      <c r="H44" s="52" t="s">
        <v>200</v>
      </c>
      <c r="I44" s="64" t="s">
        <v>747</v>
      </c>
      <c r="J44" s="63" t="s">
        <v>188</v>
      </c>
    </row>
    <row r="45" spans="1:10" ht="26.4" customHeight="1" x14ac:dyDescent="0.3">
      <c r="A45" s="59">
        <v>45530</v>
      </c>
      <c r="B45" s="67" t="s">
        <v>66</v>
      </c>
      <c r="C45" s="65" t="s">
        <v>20</v>
      </c>
      <c r="D45" s="61" t="s">
        <v>15</v>
      </c>
      <c r="E45" s="61" t="s">
        <v>505</v>
      </c>
      <c r="F45" s="62">
        <v>0</v>
      </c>
      <c r="G45" s="62"/>
      <c r="H45" s="63" t="s">
        <v>745</v>
      </c>
      <c r="I45" s="62"/>
      <c r="J45" s="52" t="s">
        <v>744</v>
      </c>
    </row>
    <row r="46" spans="1:10" ht="26.4" customHeight="1" x14ac:dyDescent="0.3">
      <c r="A46" s="59">
        <v>45530</v>
      </c>
      <c r="B46" s="67" t="s">
        <v>66</v>
      </c>
      <c r="C46" s="65" t="s">
        <v>20</v>
      </c>
      <c r="D46" s="61" t="s">
        <v>15</v>
      </c>
      <c r="E46" s="61" t="s">
        <v>488</v>
      </c>
      <c r="F46" s="62">
        <v>4053</v>
      </c>
      <c r="G46" s="62"/>
      <c r="H46" s="52" t="s">
        <v>200</v>
      </c>
      <c r="I46" s="64" t="s">
        <v>747</v>
      </c>
      <c r="J46" s="63" t="s">
        <v>188</v>
      </c>
    </row>
    <row r="47" spans="1:10" ht="26.4" customHeight="1" x14ac:dyDescent="0.3">
      <c r="A47" s="59">
        <v>45607</v>
      </c>
      <c r="B47" s="55" t="s">
        <v>116</v>
      </c>
      <c r="C47" s="65" t="s">
        <v>20</v>
      </c>
      <c r="D47" s="61" t="s">
        <v>68</v>
      </c>
      <c r="E47" s="61" t="s">
        <v>506</v>
      </c>
      <c r="F47" s="62">
        <v>0</v>
      </c>
      <c r="G47" s="62"/>
      <c r="H47" s="63" t="s">
        <v>745</v>
      </c>
      <c r="I47" s="62"/>
      <c r="J47" s="52" t="s">
        <v>744</v>
      </c>
    </row>
    <row r="48" spans="1:10" ht="26.4" customHeight="1" x14ac:dyDescent="0.3">
      <c r="A48" s="59">
        <v>45607</v>
      </c>
      <c r="B48" s="55" t="s">
        <v>116</v>
      </c>
      <c r="C48" s="65" t="s">
        <v>20</v>
      </c>
      <c r="D48" s="61" t="s">
        <v>68</v>
      </c>
      <c r="E48" s="61" t="s">
        <v>488</v>
      </c>
      <c r="F48" s="62">
        <v>6888</v>
      </c>
      <c r="G48" s="62"/>
      <c r="H48" s="52" t="s">
        <v>115</v>
      </c>
      <c r="I48" s="64" t="s">
        <v>747</v>
      </c>
      <c r="J48" s="63" t="s">
        <v>188</v>
      </c>
    </row>
    <row r="49" spans="1:10" ht="26.4" customHeight="1" x14ac:dyDescent="0.3">
      <c r="A49" s="59">
        <v>45730</v>
      </c>
      <c r="B49" s="55" t="s">
        <v>227</v>
      </c>
      <c r="C49" s="65" t="s">
        <v>20</v>
      </c>
      <c r="D49" s="61" t="s">
        <v>68</v>
      </c>
      <c r="E49" s="61" t="s">
        <v>507</v>
      </c>
      <c r="F49" s="62">
        <v>0</v>
      </c>
      <c r="G49" s="62"/>
      <c r="H49" s="63" t="s">
        <v>745</v>
      </c>
      <c r="I49" s="62"/>
      <c r="J49" s="52" t="s">
        <v>744</v>
      </c>
    </row>
    <row r="50" spans="1:10" ht="26.4" customHeight="1" x14ac:dyDescent="0.3">
      <c r="A50" s="59">
        <v>45730</v>
      </c>
      <c r="B50" s="55" t="s">
        <v>227</v>
      </c>
      <c r="C50" s="65" t="s">
        <v>20</v>
      </c>
      <c r="D50" s="61" t="s">
        <v>68</v>
      </c>
      <c r="E50" s="61" t="s">
        <v>488</v>
      </c>
      <c r="F50" s="62">
        <v>7424</v>
      </c>
      <c r="G50" s="62"/>
      <c r="H50" s="52" t="s">
        <v>200</v>
      </c>
      <c r="I50" s="64" t="s">
        <v>747</v>
      </c>
      <c r="J50" s="63" t="s">
        <v>188</v>
      </c>
    </row>
    <row r="51" spans="1:10" ht="26.4" customHeight="1" x14ac:dyDescent="0.3">
      <c r="A51" s="59">
        <v>45580</v>
      </c>
      <c r="B51" s="69" t="s">
        <v>246</v>
      </c>
      <c r="C51" s="65" t="s">
        <v>20</v>
      </c>
      <c r="D51" s="61" t="s">
        <v>68</v>
      </c>
      <c r="E51" s="61" t="s">
        <v>508</v>
      </c>
      <c r="F51" s="62">
        <v>0</v>
      </c>
      <c r="G51" s="62"/>
      <c r="H51" s="63" t="s">
        <v>745</v>
      </c>
      <c r="I51" s="62"/>
      <c r="J51" s="52" t="s">
        <v>744</v>
      </c>
    </row>
    <row r="52" spans="1:10" ht="26.4" customHeight="1" x14ac:dyDescent="0.3">
      <c r="A52" s="59">
        <v>45587</v>
      </c>
      <c r="B52" s="67" t="s">
        <v>104</v>
      </c>
      <c r="C52" s="65" t="s">
        <v>105</v>
      </c>
      <c r="D52" s="61" t="s">
        <v>68</v>
      </c>
      <c r="E52" s="61" t="s">
        <v>509</v>
      </c>
      <c r="F52" s="62">
        <v>0</v>
      </c>
      <c r="G52" s="62"/>
      <c r="H52" s="63" t="s">
        <v>745</v>
      </c>
      <c r="I52" s="62"/>
      <c r="J52" s="52" t="s">
        <v>744</v>
      </c>
    </row>
    <row r="53" spans="1:10" ht="26.4" customHeight="1" x14ac:dyDescent="0.3">
      <c r="A53" s="59">
        <v>45593</v>
      </c>
      <c r="B53" s="55" t="s">
        <v>109</v>
      </c>
      <c r="C53" s="65" t="s">
        <v>105</v>
      </c>
      <c r="D53" s="61" t="s">
        <v>68</v>
      </c>
      <c r="E53" s="61" t="s">
        <v>510</v>
      </c>
      <c r="F53" s="62">
        <v>0</v>
      </c>
      <c r="G53" s="62"/>
      <c r="H53" s="63" t="s">
        <v>745</v>
      </c>
      <c r="I53" s="62"/>
      <c r="J53" s="52" t="s">
        <v>744</v>
      </c>
    </row>
    <row r="54" spans="1:10" ht="26.4" customHeight="1" x14ac:dyDescent="0.3">
      <c r="A54" s="59">
        <v>45595</v>
      </c>
      <c r="B54" s="55" t="s">
        <v>153</v>
      </c>
      <c r="C54" s="65" t="s">
        <v>105</v>
      </c>
      <c r="D54" s="61" t="s">
        <v>68</v>
      </c>
      <c r="E54" s="61" t="s">
        <v>511</v>
      </c>
      <c r="F54" s="62">
        <v>0</v>
      </c>
      <c r="G54" s="62"/>
      <c r="H54" s="63" t="s">
        <v>745</v>
      </c>
      <c r="I54" s="62"/>
      <c r="J54" s="52" t="s">
        <v>744</v>
      </c>
    </row>
    <row r="55" spans="1:10" ht="26.4" customHeight="1" x14ac:dyDescent="0.3">
      <c r="A55" s="59">
        <v>45595</v>
      </c>
      <c r="B55" s="55" t="s">
        <v>153</v>
      </c>
      <c r="C55" s="65" t="s">
        <v>105</v>
      </c>
      <c r="D55" s="61" t="s">
        <v>68</v>
      </c>
      <c r="E55" s="61" t="s">
        <v>488</v>
      </c>
      <c r="F55" s="62">
        <v>26250</v>
      </c>
      <c r="G55" s="62"/>
      <c r="H55" s="63" t="s">
        <v>211</v>
      </c>
      <c r="I55" s="64" t="s">
        <v>747</v>
      </c>
      <c r="J55" s="63" t="s">
        <v>188</v>
      </c>
    </row>
    <row r="56" spans="1:10" ht="26.4" customHeight="1" x14ac:dyDescent="0.3">
      <c r="A56" s="59">
        <v>45607</v>
      </c>
      <c r="B56" s="55" t="s">
        <v>117</v>
      </c>
      <c r="C56" s="65" t="s">
        <v>105</v>
      </c>
      <c r="D56" s="61" t="s">
        <v>68</v>
      </c>
      <c r="E56" s="61" t="s">
        <v>512</v>
      </c>
      <c r="F56" s="62">
        <v>0</v>
      </c>
      <c r="G56" s="62"/>
      <c r="H56" s="63" t="s">
        <v>745</v>
      </c>
      <c r="I56" s="62"/>
      <c r="J56" s="52" t="s">
        <v>744</v>
      </c>
    </row>
    <row r="57" spans="1:10" ht="26.4" customHeight="1" x14ac:dyDescent="0.3">
      <c r="A57" s="59">
        <v>45607</v>
      </c>
      <c r="B57" s="55" t="s">
        <v>117</v>
      </c>
      <c r="C57" s="65" t="s">
        <v>105</v>
      </c>
      <c r="D57" s="61" t="s">
        <v>68</v>
      </c>
      <c r="E57" s="61" t="s">
        <v>488</v>
      </c>
      <c r="F57" s="62">
        <v>13912</v>
      </c>
      <c r="G57" s="62"/>
      <c r="H57" s="52" t="s">
        <v>154</v>
      </c>
      <c r="I57" s="64" t="s">
        <v>747</v>
      </c>
      <c r="J57" s="63" t="s">
        <v>188</v>
      </c>
    </row>
    <row r="58" spans="1:10" ht="26.4" customHeight="1" x14ac:dyDescent="0.3">
      <c r="A58" s="59">
        <v>45618</v>
      </c>
      <c r="B58" s="70" t="s">
        <v>134</v>
      </c>
      <c r="C58" s="65" t="s">
        <v>105</v>
      </c>
      <c r="D58" s="61" t="s">
        <v>68</v>
      </c>
      <c r="E58" s="61" t="s">
        <v>513</v>
      </c>
      <c r="F58" s="62">
        <v>0</v>
      </c>
      <c r="G58" s="62"/>
      <c r="H58" s="63" t="s">
        <v>745</v>
      </c>
      <c r="I58" s="62"/>
      <c r="J58" s="52" t="s">
        <v>744</v>
      </c>
    </row>
    <row r="59" spans="1:10" ht="26.4" customHeight="1" x14ac:dyDescent="0.3">
      <c r="A59" s="59">
        <v>45628</v>
      </c>
      <c r="B59" s="70" t="s">
        <v>137</v>
      </c>
      <c r="C59" s="65" t="s">
        <v>105</v>
      </c>
      <c r="D59" s="61" t="s">
        <v>68</v>
      </c>
      <c r="E59" s="61" t="s">
        <v>514</v>
      </c>
      <c r="F59" s="62">
        <v>0</v>
      </c>
      <c r="G59" s="62"/>
      <c r="H59" s="63" t="s">
        <v>745</v>
      </c>
      <c r="I59" s="62"/>
      <c r="J59" s="52" t="s">
        <v>744</v>
      </c>
    </row>
    <row r="60" spans="1:10" ht="26.4" customHeight="1" x14ac:dyDescent="0.3">
      <c r="A60" s="59">
        <v>45630</v>
      </c>
      <c r="B60" s="70" t="s">
        <v>146</v>
      </c>
      <c r="C60" s="65" t="s">
        <v>105</v>
      </c>
      <c r="D60" s="61" t="s">
        <v>68</v>
      </c>
      <c r="E60" s="61" t="s">
        <v>515</v>
      </c>
      <c r="F60" s="62">
        <v>0</v>
      </c>
      <c r="G60" s="62"/>
      <c r="H60" s="63" t="s">
        <v>745</v>
      </c>
      <c r="I60" s="62"/>
      <c r="J60" s="52" t="s">
        <v>744</v>
      </c>
    </row>
    <row r="61" spans="1:10" ht="26.4" customHeight="1" x14ac:dyDescent="0.3">
      <c r="A61" s="59">
        <v>45649</v>
      </c>
      <c r="B61" s="70" t="s">
        <v>157</v>
      </c>
      <c r="C61" s="65" t="s">
        <v>105</v>
      </c>
      <c r="D61" s="61" t="s">
        <v>68</v>
      </c>
      <c r="E61" s="61" t="s">
        <v>516</v>
      </c>
      <c r="F61" s="62">
        <v>0</v>
      </c>
      <c r="G61" s="62"/>
      <c r="H61" s="63" t="s">
        <v>745</v>
      </c>
      <c r="I61" s="62"/>
      <c r="J61" s="52" t="s">
        <v>744</v>
      </c>
    </row>
    <row r="62" spans="1:10" ht="26.4" customHeight="1" x14ac:dyDescent="0.3">
      <c r="A62" s="59">
        <v>45649</v>
      </c>
      <c r="B62" s="70" t="s">
        <v>157</v>
      </c>
      <c r="C62" s="65" t="s">
        <v>105</v>
      </c>
      <c r="D62" s="61" t="s">
        <v>68</v>
      </c>
      <c r="E62" s="61" t="s">
        <v>488</v>
      </c>
      <c r="F62" s="62">
        <v>1260</v>
      </c>
      <c r="G62" s="62"/>
      <c r="H62" s="63" t="s">
        <v>211</v>
      </c>
      <c r="I62" s="64" t="s">
        <v>747</v>
      </c>
      <c r="J62" s="63" t="s">
        <v>188</v>
      </c>
    </row>
    <row r="63" spans="1:10" ht="26.4" customHeight="1" x14ac:dyDescent="0.3">
      <c r="A63" s="59">
        <v>45649</v>
      </c>
      <c r="B63" s="55" t="s">
        <v>158</v>
      </c>
      <c r="C63" s="65" t="s">
        <v>105</v>
      </c>
      <c r="D63" s="61" t="s">
        <v>68</v>
      </c>
      <c r="E63" s="61" t="s">
        <v>517</v>
      </c>
      <c r="F63" s="62">
        <v>0</v>
      </c>
      <c r="G63" s="62"/>
      <c r="H63" s="63" t="s">
        <v>745</v>
      </c>
      <c r="I63" s="62"/>
      <c r="J63" s="52" t="s">
        <v>744</v>
      </c>
    </row>
    <row r="64" spans="1:10" ht="26.4" customHeight="1" x14ac:dyDescent="0.3">
      <c r="A64" s="59">
        <v>45652</v>
      </c>
      <c r="B64" s="55" t="s">
        <v>160</v>
      </c>
      <c r="C64" s="65" t="s">
        <v>105</v>
      </c>
      <c r="D64" s="61" t="s">
        <v>68</v>
      </c>
      <c r="E64" s="61" t="s">
        <v>518</v>
      </c>
      <c r="F64" s="62">
        <v>0</v>
      </c>
      <c r="G64" s="62"/>
      <c r="H64" s="63" t="s">
        <v>745</v>
      </c>
      <c r="I64" s="62"/>
      <c r="J64" s="52" t="s">
        <v>744</v>
      </c>
    </row>
    <row r="65" spans="1:10" ht="26.4" customHeight="1" x14ac:dyDescent="0.3">
      <c r="A65" s="59">
        <v>45661</v>
      </c>
      <c r="B65" s="55" t="s">
        <v>168</v>
      </c>
      <c r="C65" s="65" t="s">
        <v>105</v>
      </c>
      <c r="D65" s="61" t="s">
        <v>68</v>
      </c>
      <c r="E65" s="61" t="s">
        <v>498</v>
      </c>
      <c r="F65" s="62">
        <v>0</v>
      </c>
      <c r="G65" s="62"/>
      <c r="H65" s="63" t="s">
        <v>745</v>
      </c>
      <c r="I65" s="62"/>
      <c r="J65" s="52" t="s">
        <v>744</v>
      </c>
    </row>
    <row r="66" spans="1:10" ht="26.4" customHeight="1" x14ac:dyDescent="0.3">
      <c r="A66" s="59">
        <v>45664</v>
      </c>
      <c r="C66" s="65" t="s">
        <v>105</v>
      </c>
      <c r="D66" s="61" t="s">
        <v>68</v>
      </c>
      <c r="E66" s="61" t="s">
        <v>488</v>
      </c>
      <c r="F66" s="62">
        <v>12464.5</v>
      </c>
      <c r="G66" s="62"/>
      <c r="H66" s="52" t="s">
        <v>200</v>
      </c>
      <c r="I66" s="64" t="s">
        <v>747</v>
      </c>
      <c r="J66" s="63" t="s">
        <v>188</v>
      </c>
    </row>
    <row r="67" spans="1:10" ht="26.4" customHeight="1" x14ac:dyDescent="0.3">
      <c r="A67" s="59">
        <v>45675</v>
      </c>
      <c r="B67" s="55" t="s">
        <v>175</v>
      </c>
      <c r="C67" s="65" t="s">
        <v>105</v>
      </c>
      <c r="D67" s="61" t="s">
        <v>68</v>
      </c>
      <c r="E67" s="61" t="s">
        <v>517</v>
      </c>
      <c r="F67" s="62">
        <v>0</v>
      </c>
      <c r="G67" s="62"/>
      <c r="H67" s="63" t="s">
        <v>745</v>
      </c>
      <c r="I67" s="62"/>
      <c r="J67" s="52" t="s">
        <v>744</v>
      </c>
    </row>
    <row r="68" spans="1:10" ht="26.4" customHeight="1" x14ac:dyDescent="0.3">
      <c r="A68" s="59">
        <v>45680</v>
      </c>
      <c r="B68" s="65" t="s">
        <v>232</v>
      </c>
      <c r="C68" s="65" t="s">
        <v>105</v>
      </c>
      <c r="D68" s="61" t="s">
        <v>68</v>
      </c>
      <c r="E68" s="61" t="s">
        <v>488</v>
      </c>
      <c r="F68" s="62">
        <v>10941</v>
      </c>
      <c r="G68" s="62"/>
      <c r="H68" s="52" t="s">
        <v>200</v>
      </c>
      <c r="I68" s="64" t="s">
        <v>747</v>
      </c>
      <c r="J68" s="63" t="s">
        <v>188</v>
      </c>
    </row>
    <row r="69" spans="1:10" ht="26.4" customHeight="1" x14ac:dyDescent="0.3">
      <c r="A69" s="59">
        <v>45684</v>
      </c>
      <c r="B69" s="55" t="s">
        <v>191</v>
      </c>
      <c r="C69" s="65" t="s">
        <v>105</v>
      </c>
      <c r="D69" s="61" t="s">
        <v>68</v>
      </c>
      <c r="E69" s="61" t="s">
        <v>519</v>
      </c>
      <c r="F69" s="62">
        <v>0</v>
      </c>
      <c r="G69" s="62"/>
      <c r="H69" s="63" t="s">
        <v>745</v>
      </c>
      <c r="I69" s="62"/>
      <c r="J69" s="52" t="s">
        <v>744</v>
      </c>
    </row>
    <row r="70" spans="1:10" ht="26.4" customHeight="1" x14ac:dyDescent="0.3">
      <c r="A70" s="59">
        <v>45684</v>
      </c>
      <c r="B70" s="55" t="s">
        <v>192</v>
      </c>
      <c r="C70" s="65" t="s">
        <v>105</v>
      </c>
      <c r="D70" s="61" t="s">
        <v>68</v>
      </c>
      <c r="E70" s="61" t="s">
        <v>520</v>
      </c>
      <c r="F70" s="62">
        <v>0</v>
      </c>
      <c r="G70" s="62"/>
      <c r="H70" s="63" t="s">
        <v>745</v>
      </c>
      <c r="I70" s="62"/>
      <c r="J70" s="52" t="s">
        <v>744</v>
      </c>
    </row>
    <row r="71" spans="1:10" ht="26.4" customHeight="1" x14ac:dyDescent="0.3">
      <c r="A71" s="59">
        <v>45697</v>
      </c>
      <c r="B71" s="55" t="s">
        <v>223</v>
      </c>
      <c r="C71" s="65" t="s">
        <v>105</v>
      </c>
      <c r="D71" s="61" t="s">
        <v>68</v>
      </c>
      <c r="E71" s="61" t="s">
        <v>519</v>
      </c>
      <c r="F71" s="62">
        <v>0</v>
      </c>
      <c r="G71" s="62"/>
      <c r="H71" s="63" t="s">
        <v>745</v>
      </c>
      <c r="I71" s="62"/>
      <c r="J71" s="52" t="s">
        <v>744</v>
      </c>
    </row>
    <row r="72" spans="1:10" ht="26.4" customHeight="1" x14ac:dyDescent="0.3">
      <c r="A72" s="59">
        <v>45707</v>
      </c>
      <c r="C72" s="65" t="s">
        <v>105</v>
      </c>
      <c r="D72" s="61" t="s">
        <v>68</v>
      </c>
      <c r="E72" s="61" t="s">
        <v>488</v>
      </c>
      <c r="F72" s="62">
        <v>21450</v>
      </c>
      <c r="G72" s="62"/>
      <c r="H72" s="63" t="s">
        <v>211</v>
      </c>
      <c r="I72" s="64" t="s">
        <v>747</v>
      </c>
      <c r="J72" s="63" t="s">
        <v>188</v>
      </c>
    </row>
    <row r="73" spans="1:10" ht="26.4" customHeight="1" x14ac:dyDescent="0.3">
      <c r="A73" s="59">
        <v>45699</v>
      </c>
      <c r="B73" s="55" t="s">
        <v>224</v>
      </c>
      <c r="C73" s="65" t="s">
        <v>105</v>
      </c>
      <c r="D73" s="61" t="s">
        <v>68</v>
      </c>
      <c r="E73" s="61" t="s">
        <v>521</v>
      </c>
      <c r="F73" s="62">
        <v>0</v>
      </c>
      <c r="G73" s="62"/>
      <c r="H73" s="63" t="s">
        <v>745</v>
      </c>
      <c r="I73" s="62"/>
      <c r="J73" s="52" t="s">
        <v>744</v>
      </c>
    </row>
    <row r="74" spans="1:10" ht="26.4" customHeight="1" x14ac:dyDescent="0.3">
      <c r="A74" s="59">
        <v>45719</v>
      </c>
      <c r="B74" s="55" t="s">
        <v>218</v>
      </c>
      <c r="C74" s="65" t="s">
        <v>105</v>
      </c>
      <c r="D74" s="61" t="s">
        <v>68</v>
      </c>
      <c r="E74" s="61" t="s">
        <v>522</v>
      </c>
      <c r="F74" s="62">
        <v>0</v>
      </c>
      <c r="G74" s="62"/>
      <c r="H74" s="63" t="s">
        <v>745</v>
      </c>
      <c r="I74" s="62"/>
      <c r="J74" s="52" t="s">
        <v>744</v>
      </c>
    </row>
    <row r="75" spans="1:10" ht="26.4" customHeight="1" x14ac:dyDescent="0.3">
      <c r="A75" s="59">
        <v>45719</v>
      </c>
      <c r="B75" s="70" t="s">
        <v>218</v>
      </c>
      <c r="C75" s="65" t="s">
        <v>105</v>
      </c>
      <c r="D75" s="61" t="s">
        <v>68</v>
      </c>
      <c r="E75" s="61" t="s">
        <v>488</v>
      </c>
      <c r="F75" s="62">
        <v>2980</v>
      </c>
      <c r="G75" s="62"/>
      <c r="H75" s="52" t="s">
        <v>154</v>
      </c>
      <c r="I75" s="64" t="s">
        <v>747</v>
      </c>
      <c r="J75" s="63" t="s">
        <v>188</v>
      </c>
    </row>
    <row r="76" spans="1:10" ht="26.4" customHeight="1" x14ac:dyDescent="0.3">
      <c r="A76" s="59">
        <v>45735</v>
      </c>
      <c r="B76" s="55" t="s">
        <v>225</v>
      </c>
      <c r="C76" s="65" t="s">
        <v>105</v>
      </c>
      <c r="D76" s="61" t="s">
        <v>68</v>
      </c>
      <c r="E76" s="61" t="s">
        <v>523</v>
      </c>
      <c r="F76" s="62">
        <v>0</v>
      </c>
      <c r="G76" s="62"/>
      <c r="H76" s="63" t="s">
        <v>745</v>
      </c>
      <c r="I76" s="62"/>
      <c r="J76" s="52" t="s">
        <v>744</v>
      </c>
    </row>
    <row r="77" spans="1:10" ht="26.4" customHeight="1" x14ac:dyDescent="0.3">
      <c r="A77" s="59">
        <v>45735</v>
      </c>
      <c r="B77" s="71"/>
      <c r="C77" s="65" t="s">
        <v>105</v>
      </c>
      <c r="D77" s="61" t="s">
        <v>68</v>
      </c>
      <c r="E77" s="61" t="s">
        <v>488</v>
      </c>
      <c r="F77" s="62">
        <v>28014</v>
      </c>
      <c r="G77" s="62"/>
      <c r="H77" s="63" t="s">
        <v>211</v>
      </c>
      <c r="I77" s="64" t="s">
        <v>747</v>
      </c>
      <c r="J77" s="63" t="s">
        <v>188</v>
      </c>
    </row>
    <row r="78" spans="1:10" ht="26.4" customHeight="1" x14ac:dyDescent="0.3">
      <c r="A78" s="59">
        <v>45632</v>
      </c>
      <c r="B78" s="70" t="s">
        <v>141</v>
      </c>
      <c r="C78" s="65" t="s">
        <v>142</v>
      </c>
      <c r="D78" s="61" t="s">
        <v>68</v>
      </c>
      <c r="E78" s="61" t="s">
        <v>524</v>
      </c>
      <c r="F78" s="62">
        <v>0</v>
      </c>
      <c r="G78" s="62"/>
      <c r="H78" s="63" t="s">
        <v>745</v>
      </c>
      <c r="I78" s="62"/>
      <c r="J78" s="52" t="s">
        <v>744</v>
      </c>
    </row>
    <row r="79" spans="1:10" ht="26.4" customHeight="1" x14ac:dyDescent="0.3">
      <c r="A79" s="59">
        <v>45632</v>
      </c>
      <c r="B79" s="70" t="s">
        <v>143</v>
      </c>
      <c r="C79" s="65" t="s">
        <v>142</v>
      </c>
      <c r="D79" s="61" t="s">
        <v>68</v>
      </c>
      <c r="E79" s="61" t="s">
        <v>491</v>
      </c>
      <c r="F79" s="62">
        <v>0</v>
      </c>
      <c r="G79" s="62"/>
      <c r="H79" s="63" t="s">
        <v>745</v>
      </c>
      <c r="I79" s="62"/>
      <c r="J79" s="52" t="s">
        <v>744</v>
      </c>
    </row>
    <row r="80" spans="1:10" ht="26.4" customHeight="1" x14ac:dyDescent="0.3">
      <c r="A80" s="59">
        <v>45632</v>
      </c>
      <c r="B80" s="65" t="s">
        <v>248</v>
      </c>
      <c r="C80" s="65" t="s">
        <v>142</v>
      </c>
      <c r="D80" s="61" t="s">
        <v>68</v>
      </c>
      <c r="E80" s="61" t="s">
        <v>488</v>
      </c>
      <c r="F80" s="62">
        <v>18543</v>
      </c>
      <c r="G80" s="62"/>
      <c r="H80" s="52" t="s">
        <v>154</v>
      </c>
      <c r="I80" s="64" t="s">
        <v>747</v>
      </c>
      <c r="J80" s="63" t="s">
        <v>188</v>
      </c>
    </row>
    <row r="81" spans="1:10" ht="26.4" customHeight="1" x14ac:dyDescent="0.3">
      <c r="A81" s="59">
        <v>45633</v>
      </c>
      <c r="B81" s="70" t="s">
        <v>151</v>
      </c>
      <c r="C81" s="65" t="s">
        <v>142</v>
      </c>
      <c r="D81" s="61" t="s">
        <v>68</v>
      </c>
      <c r="E81" s="61" t="s">
        <v>525</v>
      </c>
      <c r="F81" s="62">
        <v>0</v>
      </c>
      <c r="G81" s="62"/>
      <c r="H81" s="63" t="s">
        <v>745</v>
      </c>
      <c r="I81" s="62"/>
      <c r="J81" s="52" t="s">
        <v>744</v>
      </c>
    </row>
    <row r="82" spans="1:10" ht="26.4" customHeight="1" x14ac:dyDescent="0.3">
      <c r="A82" s="59">
        <v>45681</v>
      </c>
      <c r="B82" s="55" t="s">
        <v>181</v>
      </c>
      <c r="C82" s="65" t="s">
        <v>182</v>
      </c>
      <c r="D82" s="61" t="s">
        <v>67</v>
      </c>
      <c r="E82" s="61" t="s">
        <v>526</v>
      </c>
      <c r="F82" s="62">
        <v>0</v>
      </c>
      <c r="G82" s="62"/>
      <c r="H82" s="63" t="s">
        <v>745</v>
      </c>
      <c r="I82" s="62"/>
      <c r="J82" s="52" t="s">
        <v>744</v>
      </c>
    </row>
    <row r="83" spans="1:10" ht="26.4" customHeight="1" x14ac:dyDescent="0.3">
      <c r="A83" s="59">
        <v>45681</v>
      </c>
      <c r="B83" s="55" t="s">
        <v>183</v>
      </c>
      <c r="C83" s="65" t="s">
        <v>182</v>
      </c>
      <c r="D83" s="61" t="s">
        <v>67</v>
      </c>
      <c r="E83" s="61" t="s">
        <v>527</v>
      </c>
      <c r="F83" s="62">
        <v>0</v>
      </c>
      <c r="G83" s="62"/>
      <c r="H83" s="63" t="s">
        <v>745</v>
      </c>
      <c r="I83" s="62"/>
      <c r="J83" s="52" t="s">
        <v>744</v>
      </c>
    </row>
    <row r="84" spans="1:10" ht="26.4" customHeight="1" x14ac:dyDescent="0.3">
      <c r="A84" s="59">
        <v>45681</v>
      </c>
      <c r="C84" s="65" t="s">
        <v>182</v>
      </c>
      <c r="D84" s="61" t="s">
        <v>67</v>
      </c>
      <c r="E84" s="61" t="s">
        <v>488</v>
      </c>
      <c r="F84" s="62">
        <v>5471.97</v>
      </c>
      <c r="G84" s="62"/>
      <c r="H84" s="63" t="s">
        <v>211</v>
      </c>
      <c r="I84" s="64" t="s">
        <v>747</v>
      </c>
      <c r="J84" s="63" t="s">
        <v>188</v>
      </c>
    </row>
    <row r="85" spans="1:10" ht="26.4" customHeight="1" x14ac:dyDescent="0.3">
      <c r="A85" s="59">
        <v>45731</v>
      </c>
      <c r="C85" s="65" t="s">
        <v>182</v>
      </c>
      <c r="D85" s="61" t="s">
        <v>67</v>
      </c>
      <c r="E85" s="61" t="s">
        <v>488</v>
      </c>
      <c r="F85" s="62">
        <v>18015.52</v>
      </c>
      <c r="G85" s="62"/>
      <c r="H85" s="52" t="s">
        <v>154</v>
      </c>
      <c r="I85" s="64" t="s">
        <v>747</v>
      </c>
      <c r="J85" s="63" t="s">
        <v>188</v>
      </c>
    </row>
    <row r="86" spans="1:10" ht="26.4" customHeight="1" x14ac:dyDescent="0.3">
      <c r="A86" s="59">
        <v>45743</v>
      </c>
      <c r="B86" s="72" t="s">
        <v>255</v>
      </c>
      <c r="C86" s="65" t="s">
        <v>252</v>
      </c>
      <c r="D86" s="61" t="s">
        <v>68</v>
      </c>
      <c r="E86" s="61" t="s">
        <v>528</v>
      </c>
      <c r="F86" s="62">
        <v>0</v>
      </c>
      <c r="G86" s="62"/>
      <c r="H86" s="63" t="s">
        <v>745</v>
      </c>
      <c r="I86" s="62"/>
      <c r="J86" s="52" t="s">
        <v>744</v>
      </c>
    </row>
    <row r="87" spans="1:10" ht="26.4" customHeight="1" x14ac:dyDescent="0.3">
      <c r="A87" s="59">
        <v>45743</v>
      </c>
      <c r="C87" s="65" t="s">
        <v>252</v>
      </c>
      <c r="D87" s="61" t="s">
        <v>68</v>
      </c>
      <c r="E87" s="61" t="s">
        <v>488</v>
      </c>
      <c r="F87" s="62">
        <v>50400</v>
      </c>
      <c r="G87" s="62"/>
      <c r="H87" s="52" t="s">
        <v>245</v>
      </c>
      <c r="I87" s="64" t="s">
        <v>747</v>
      </c>
      <c r="J87" s="63" t="s">
        <v>188</v>
      </c>
    </row>
    <row r="88" spans="1:10" ht="26.4" customHeight="1" x14ac:dyDescent="0.3">
      <c r="A88" s="59">
        <v>45558</v>
      </c>
      <c r="B88" s="67" t="s">
        <v>86</v>
      </c>
      <c r="C88" s="65" t="s">
        <v>87</v>
      </c>
      <c r="D88" s="61" t="s">
        <v>67</v>
      </c>
      <c r="E88" s="61" t="s">
        <v>529</v>
      </c>
      <c r="F88" s="62">
        <v>0</v>
      </c>
      <c r="G88" s="62"/>
      <c r="H88" s="63" t="s">
        <v>745</v>
      </c>
      <c r="I88" s="62"/>
      <c r="J88" s="52" t="s">
        <v>744</v>
      </c>
    </row>
    <row r="89" spans="1:10" ht="26.4" customHeight="1" x14ac:dyDescent="0.3">
      <c r="A89" s="59">
        <v>45558</v>
      </c>
      <c r="B89" s="67" t="s">
        <v>86</v>
      </c>
      <c r="C89" s="65" t="s">
        <v>87</v>
      </c>
      <c r="D89" s="61" t="s">
        <v>67</v>
      </c>
      <c r="E89" s="61" t="s">
        <v>488</v>
      </c>
      <c r="F89" s="62">
        <v>7500</v>
      </c>
      <c r="G89" s="62"/>
      <c r="H89" s="52" t="s">
        <v>154</v>
      </c>
      <c r="I89" s="64" t="s">
        <v>747</v>
      </c>
      <c r="J89" s="63" t="s">
        <v>188</v>
      </c>
    </row>
    <row r="90" spans="1:10" ht="26.4" customHeight="1" x14ac:dyDescent="0.3">
      <c r="A90" s="59">
        <v>45558</v>
      </c>
      <c r="B90" s="67" t="s">
        <v>86</v>
      </c>
      <c r="C90" s="65" t="s">
        <v>87</v>
      </c>
      <c r="D90" s="61" t="s">
        <v>67</v>
      </c>
      <c r="E90" s="61" t="s">
        <v>488</v>
      </c>
      <c r="F90" s="62">
        <v>5000</v>
      </c>
      <c r="G90" s="62"/>
      <c r="H90" s="52" t="s">
        <v>154</v>
      </c>
      <c r="I90" s="64" t="s">
        <v>747</v>
      </c>
      <c r="J90" s="63" t="s">
        <v>188</v>
      </c>
    </row>
    <row r="91" spans="1:10" ht="26.4" customHeight="1" x14ac:dyDescent="0.3">
      <c r="A91" s="59">
        <v>45558</v>
      </c>
      <c r="B91" s="67" t="s">
        <v>86</v>
      </c>
      <c r="C91" s="65" t="s">
        <v>87</v>
      </c>
      <c r="D91" s="61" t="s">
        <v>67</v>
      </c>
      <c r="E91" s="61" t="s">
        <v>488</v>
      </c>
      <c r="F91" s="62">
        <v>3500</v>
      </c>
      <c r="G91" s="62"/>
      <c r="H91" s="52" t="s">
        <v>154</v>
      </c>
      <c r="I91" s="64" t="s">
        <v>747</v>
      </c>
      <c r="J91" s="63" t="s">
        <v>188</v>
      </c>
    </row>
    <row r="92" spans="1:10" ht="26.4" customHeight="1" x14ac:dyDescent="0.3">
      <c r="A92" s="59">
        <v>45558</v>
      </c>
      <c r="B92" s="67" t="s">
        <v>91</v>
      </c>
      <c r="C92" s="65" t="s">
        <v>87</v>
      </c>
      <c r="D92" s="61" t="s">
        <v>67</v>
      </c>
      <c r="E92" s="61" t="s">
        <v>499</v>
      </c>
      <c r="F92" s="62">
        <v>0</v>
      </c>
      <c r="G92" s="62"/>
      <c r="H92" s="63" t="s">
        <v>745</v>
      </c>
      <c r="I92" s="62"/>
      <c r="J92" s="52" t="s">
        <v>744</v>
      </c>
    </row>
    <row r="93" spans="1:10" ht="26.4" customHeight="1" x14ac:dyDescent="0.3">
      <c r="A93" s="59">
        <v>45642</v>
      </c>
      <c r="B93" s="55" t="s">
        <v>156</v>
      </c>
      <c r="C93" s="65" t="s">
        <v>87</v>
      </c>
      <c r="D93" s="61" t="s">
        <v>67</v>
      </c>
      <c r="E93" s="61" t="s">
        <v>530</v>
      </c>
      <c r="F93" s="62">
        <v>0</v>
      </c>
      <c r="G93" s="62"/>
      <c r="H93" s="63" t="s">
        <v>745</v>
      </c>
      <c r="I93" s="62"/>
      <c r="J93" s="52" t="s">
        <v>744</v>
      </c>
    </row>
    <row r="94" spans="1:10" ht="26.4" customHeight="1" x14ac:dyDescent="0.3">
      <c r="A94" s="59">
        <v>45454</v>
      </c>
      <c r="B94" s="68" t="s">
        <v>29</v>
      </c>
      <c r="C94" s="60" t="s">
        <v>30</v>
      </c>
      <c r="D94" s="61" t="s">
        <v>7</v>
      </c>
      <c r="E94" s="61" t="s">
        <v>531</v>
      </c>
      <c r="F94" s="62">
        <v>0</v>
      </c>
      <c r="G94" s="62"/>
      <c r="H94" s="63" t="s">
        <v>745</v>
      </c>
      <c r="I94" s="62"/>
      <c r="J94" s="52" t="s">
        <v>744</v>
      </c>
    </row>
    <row r="95" spans="1:10" ht="26.4" customHeight="1" x14ac:dyDescent="0.3">
      <c r="A95" s="59">
        <v>45454</v>
      </c>
      <c r="B95" s="68" t="s">
        <v>29</v>
      </c>
      <c r="C95" s="60" t="s">
        <v>30</v>
      </c>
      <c r="D95" s="61" t="s">
        <v>7</v>
      </c>
      <c r="E95" s="61" t="s">
        <v>488</v>
      </c>
      <c r="F95" s="62">
        <v>23342</v>
      </c>
      <c r="G95" s="62"/>
      <c r="H95" s="52" t="s">
        <v>743</v>
      </c>
      <c r="I95" s="64" t="s">
        <v>747</v>
      </c>
      <c r="J95" s="63" t="s">
        <v>188</v>
      </c>
    </row>
    <row r="96" spans="1:10" ht="26.4" customHeight="1" x14ac:dyDescent="0.3">
      <c r="A96" s="59">
        <v>45617</v>
      </c>
      <c r="B96" s="55" t="s">
        <v>133</v>
      </c>
      <c r="C96" s="65" t="s">
        <v>30</v>
      </c>
      <c r="D96" s="61" t="s">
        <v>67</v>
      </c>
      <c r="E96" s="61" t="s">
        <v>532</v>
      </c>
      <c r="F96" s="62">
        <v>0</v>
      </c>
      <c r="G96" s="62"/>
      <c r="H96" s="63" t="s">
        <v>745</v>
      </c>
      <c r="I96" s="62"/>
      <c r="J96" s="52" t="s">
        <v>744</v>
      </c>
    </row>
    <row r="97" spans="1:10" ht="26.4" customHeight="1" x14ac:dyDescent="0.3">
      <c r="A97" s="59">
        <v>45617</v>
      </c>
      <c r="B97" s="55" t="s">
        <v>133</v>
      </c>
      <c r="C97" s="65" t="s">
        <v>30</v>
      </c>
      <c r="D97" s="61" t="s">
        <v>67</v>
      </c>
      <c r="E97" s="61" t="s">
        <v>488</v>
      </c>
      <c r="F97" s="62">
        <v>656</v>
      </c>
      <c r="G97" s="62"/>
      <c r="H97" s="52" t="s">
        <v>154</v>
      </c>
      <c r="I97" s="64" t="s">
        <v>747</v>
      </c>
      <c r="J97" s="63" t="s">
        <v>188</v>
      </c>
    </row>
    <row r="98" spans="1:10" ht="26.4" customHeight="1" x14ac:dyDescent="0.3">
      <c r="A98" s="59">
        <v>45692</v>
      </c>
      <c r="B98" s="55" t="s">
        <v>201</v>
      </c>
      <c r="C98" s="65" t="s">
        <v>30</v>
      </c>
      <c r="D98" s="61" t="s">
        <v>67</v>
      </c>
      <c r="E98" s="61" t="s">
        <v>533</v>
      </c>
      <c r="F98" s="62">
        <v>0</v>
      </c>
      <c r="G98" s="62"/>
      <c r="H98" s="63" t="s">
        <v>745</v>
      </c>
      <c r="I98" s="62"/>
      <c r="J98" s="52" t="s">
        <v>744</v>
      </c>
    </row>
    <row r="99" spans="1:10" ht="26.4" customHeight="1" x14ac:dyDescent="0.3">
      <c r="A99" s="59">
        <v>45692</v>
      </c>
      <c r="B99" s="55" t="s">
        <v>201</v>
      </c>
      <c r="C99" s="65" t="s">
        <v>30</v>
      </c>
      <c r="D99" s="61" t="s">
        <v>67</v>
      </c>
      <c r="E99" s="61" t="s">
        <v>488</v>
      </c>
      <c r="F99" s="62">
        <v>5837</v>
      </c>
      <c r="G99" s="62"/>
      <c r="H99" s="52" t="s">
        <v>154</v>
      </c>
      <c r="I99" s="64" t="s">
        <v>747</v>
      </c>
      <c r="J99" s="63" t="s">
        <v>188</v>
      </c>
    </row>
    <row r="100" spans="1:10" ht="26.4" customHeight="1" x14ac:dyDescent="0.3">
      <c r="A100" s="59">
        <v>45664</v>
      </c>
      <c r="B100" s="70" t="s">
        <v>178</v>
      </c>
      <c r="C100" s="65" t="s">
        <v>170</v>
      </c>
      <c r="D100" s="61" t="s">
        <v>68</v>
      </c>
      <c r="E100" s="61" t="s">
        <v>488</v>
      </c>
      <c r="F100" s="62">
        <v>50916</v>
      </c>
      <c r="G100" s="62"/>
      <c r="H100" s="52" t="s">
        <v>154</v>
      </c>
      <c r="I100" s="64" t="s">
        <v>747</v>
      </c>
      <c r="J100" s="63" t="s">
        <v>188</v>
      </c>
    </row>
    <row r="101" spans="1:10" ht="26.4" customHeight="1" x14ac:dyDescent="0.3">
      <c r="A101" s="59">
        <v>45667</v>
      </c>
      <c r="B101" s="55" t="s">
        <v>171</v>
      </c>
      <c r="C101" s="65" t="s">
        <v>170</v>
      </c>
      <c r="D101" s="61" t="s">
        <v>68</v>
      </c>
      <c r="E101" s="61" t="s">
        <v>534</v>
      </c>
      <c r="F101" s="62">
        <v>0</v>
      </c>
      <c r="G101" s="62"/>
      <c r="H101" s="63" t="s">
        <v>745</v>
      </c>
      <c r="I101" s="62"/>
      <c r="J101" s="52" t="s">
        <v>744</v>
      </c>
    </row>
    <row r="102" spans="1:10" ht="26.4" customHeight="1" x14ac:dyDescent="0.3">
      <c r="A102" s="59">
        <v>45667</v>
      </c>
      <c r="B102" s="55" t="s">
        <v>172</v>
      </c>
      <c r="C102" s="65" t="s">
        <v>170</v>
      </c>
      <c r="D102" s="61" t="s">
        <v>68</v>
      </c>
      <c r="E102" s="61" t="s">
        <v>535</v>
      </c>
      <c r="F102" s="62">
        <v>0</v>
      </c>
      <c r="G102" s="62"/>
      <c r="H102" s="63" t="s">
        <v>745</v>
      </c>
      <c r="I102" s="62"/>
      <c r="J102" s="52" t="s">
        <v>744</v>
      </c>
    </row>
    <row r="103" spans="1:10" ht="26.4" customHeight="1" x14ac:dyDescent="0.3">
      <c r="A103" s="59">
        <v>45706</v>
      </c>
      <c r="B103" s="55" t="s">
        <v>215</v>
      </c>
      <c r="C103" s="65" t="s">
        <v>170</v>
      </c>
      <c r="D103" s="61" t="s">
        <v>68</v>
      </c>
      <c r="E103" s="61" t="s">
        <v>536</v>
      </c>
      <c r="F103" s="62">
        <v>0</v>
      </c>
      <c r="G103" s="62"/>
      <c r="H103" s="63" t="s">
        <v>745</v>
      </c>
      <c r="I103" s="62"/>
      <c r="J103" s="52" t="s">
        <v>744</v>
      </c>
    </row>
    <row r="104" spans="1:10" ht="26.4" customHeight="1" x14ac:dyDescent="0.3">
      <c r="A104" s="59">
        <v>45737</v>
      </c>
      <c r="B104" s="55" t="s">
        <v>228</v>
      </c>
      <c r="C104" s="65" t="s">
        <v>170</v>
      </c>
      <c r="D104" s="61" t="s">
        <v>68</v>
      </c>
      <c r="E104" s="61" t="s">
        <v>537</v>
      </c>
      <c r="F104" s="62">
        <v>0</v>
      </c>
      <c r="G104" s="62"/>
      <c r="H104" s="63" t="s">
        <v>745</v>
      </c>
      <c r="I104" s="62"/>
      <c r="J104" s="52" t="s">
        <v>744</v>
      </c>
    </row>
    <row r="105" spans="1:10" ht="26.4" customHeight="1" x14ac:dyDescent="0.3">
      <c r="A105" s="59">
        <v>45737</v>
      </c>
      <c r="B105" s="55" t="s">
        <v>228</v>
      </c>
      <c r="C105" s="65" t="s">
        <v>170</v>
      </c>
      <c r="D105" s="61" t="s">
        <v>68</v>
      </c>
      <c r="E105" s="61" t="s">
        <v>488</v>
      </c>
      <c r="F105" s="62">
        <v>10766</v>
      </c>
      <c r="G105" s="62"/>
      <c r="H105" s="52" t="s">
        <v>154</v>
      </c>
      <c r="I105" s="64" t="s">
        <v>747</v>
      </c>
      <c r="J105" s="63" t="s">
        <v>188</v>
      </c>
    </row>
    <row r="106" spans="1:10" ht="26.4" customHeight="1" x14ac:dyDescent="0.3">
      <c r="A106" s="59">
        <v>45589</v>
      </c>
      <c r="B106" s="55" t="s">
        <v>107</v>
      </c>
      <c r="C106" s="65" t="s">
        <v>108</v>
      </c>
      <c r="D106" s="61" t="s">
        <v>67</v>
      </c>
      <c r="E106" s="61" t="s">
        <v>509</v>
      </c>
      <c r="F106" s="62">
        <v>0</v>
      </c>
      <c r="G106" s="62"/>
      <c r="H106" s="63" t="s">
        <v>745</v>
      </c>
      <c r="I106" s="62"/>
      <c r="J106" s="52" t="s">
        <v>744</v>
      </c>
    </row>
    <row r="107" spans="1:10" ht="26.4" customHeight="1" x14ac:dyDescent="0.3">
      <c r="A107" s="59">
        <v>45621</v>
      </c>
      <c r="B107" s="55" t="s">
        <v>135</v>
      </c>
      <c r="C107" s="65" t="s">
        <v>108</v>
      </c>
      <c r="D107" s="61" t="s">
        <v>67</v>
      </c>
      <c r="E107" s="61" t="s">
        <v>538</v>
      </c>
      <c r="F107" s="62">
        <v>0</v>
      </c>
      <c r="G107" s="62"/>
      <c r="H107" s="63" t="s">
        <v>745</v>
      </c>
      <c r="I107" s="62"/>
      <c r="J107" s="52" t="s">
        <v>744</v>
      </c>
    </row>
    <row r="108" spans="1:10" ht="26.4" customHeight="1" x14ac:dyDescent="0.3">
      <c r="A108" s="59">
        <v>45663</v>
      </c>
      <c r="C108" s="65" t="s">
        <v>108</v>
      </c>
      <c r="D108" s="61" t="s">
        <v>67</v>
      </c>
      <c r="E108" s="61" t="s">
        <v>488</v>
      </c>
      <c r="F108" s="62">
        <v>12075</v>
      </c>
      <c r="G108" s="62"/>
      <c r="H108" s="52" t="s">
        <v>154</v>
      </c>
      <c r="I108" s="64" t="s">
        <v>747</v>
      </c>
      <c r="J108" s="63" t="s">
        <v>188</v>
      </c>
    </row>
    <row r="109" spans="1:10" ht="26.4" customHeight="1" x14ac:dyDescent="0.3">
      <c r="A109" s="59">
        <v>45715</v>
      </c>
      <c r="B109" s="55" t="s">
        <v>185</v>
      </c>
      <c r="C109" s="65" t="s">
        <v>108</v>
      </c>
      <c r="D109" s="61" t="s">
        <v>67</v>
      </c>
      <c r="E109" s="61" t="s">
        <v>539</v>
      </c>
      <c r="F109" s="62">
        <v>0</v>
      </c>
      <c r="G109" s="62"/>
      <c r="H109" s="63" t="s">
        <v>745</v>
      </c>
      <c r="I109" s="62"/>
      <c r="J109" s="52" t="s">
        <v>744</v>
      </c>
    </row>
    <row r="110" spans="1:10" ht="26.4" customHeight="1" x14ac:dyDescent="0.3">
      <c r="A110" s="59">
        <v>45639</v>
      </c>
      <c r="B110" s="55" t="s">
        <v>94</v>
      </c>
      <c r="C110" s="65" t="s">
        <v>93</v>
      </c>
      <c r="D110" s="61" t="s">
        <v>67</v>
      </c>
      <c r="E110" s="61" t="s">
        <v>488</v>
      </c>
      <c r="F110" s="62">
        <v>1837.5</v>
      </c>
      <c r="G110" s="62"/>
      <c r="H110" s="52" t="s">
        <v>261</v>
      </c>
      <c r="I110" s="64" t="s">
        <v>747</v>
      </c>
      <c r="J110" s="63" t="s">
        <v>188</v>
      </c>
    </row>
    <row r="111" spans="1:10" ht="26.4" customHeight="1" x14ac:dyDescent="0.3">
      <c r="A111" s="73">
        <v>45572</v>
      </c>
      <c r="B111" s="55" t="s">
        <v>94</v>
      </c>
      <c r="C111" s="71" t="s">
        <v>93</v>
      </c>
      <c r="D111" s="70" t="s">
        <v>67</v>
      </c>
      <c r="E111" s="70" t="s">
        <v>540</v>
      </c>
      <c r="F111" s="62">
        <v>0</v>
      </c>
      <c r="G111" s="74"/>
      <c r="H111" s="63" t="s">
        <v>745</v>
      </c>
      <c r="I111" s="74"/>
      <c r="J111" s="52" t="s">
        <v>744</v>
      </c>
    </row>
    <row r="112" spans="1:10" ht="26.4" customHeight="1" x14ac:dyDescent="0.3">
      <c r="A112" s="59">
        <v>45720</v>
      </c>
      <c r="B112" s="70" t="s">
        <v>220</v>
      </c>
      <c r="C112" s="65" t="s">
        <v>221</v>
      </c>
      <c r="D112" s="61" t="s">
        <v>68</v>
      </c>
      <c r="E112" s="61" t="s">
        <v>541</v>
      </c>
      <c r="F112" s="62">
        <v>0</v>
      </c>
      <c r="G112" s="62"/>
      <c r="H112" s="63" t="s">
        <v>745</v>
      </c>
      <c r="I112" s="62"/>
      <c r="J112" s="52" t="s">
        <v>744</v>
      </c>
    </row>
    <row r="113" spans="1:10" ht="26.4" customHeight="1" x14ac:dyDescent="0.3">
      <c r="A113" s="59">
        <v>45720</v>
      </c>
      <c r="B113" s="70" t="s">
        <v>219</v>
      </c>
      <c r="C113" s="65" t="s">
        <v>221</v>
      </c>
      <c r="D113" s="61" t="s">
        <v>68</v>
      </c>
      <c r="E113" s="61" t="s">
        <v>542</v>
      </c>
      <c r="F113" s="62">
        <v>0</v>
      </c>
      <c r="G113" s="62"/>
      <c r="H113" s="63" t="s">
        <v>745</v>
      </c>
      <c r="I113" s="62"/>
      <c r="J113" s="52" t="s">
        <v>744</v>
      </c>
    </row>
    <row r="114" spans="1:10" ht="26.4" customHeight="1" x14ac:dyDescent="0.3">
      <c r="A114" s="59">
        <v>45449</v>
      </c>
      <c r="B114" s="68" t="s">
        <v>26</v>
      </c>
      <c r="C114" s="60" t="s">
        <v>247</v>
      </c>
      <c r="D114" s="61" t="s">
        <v>15</v>
      </c>
      <c r="E114" s="61" t="s">
        <v>543</v>
      </c>
      <c r="F114" s="62">
        <v>0</v>
      </c>
      <c r="G114" s="62"/>
      <c r="H114" s="63" t="s">
        <v>745</v>
      </c>
      <c r="I114" s="62"/>
      <c r="J114" s="52" t="s">
        <v>744</v>
      </c>
    </row>
    <row r="115" spans="1:10" ht="26.4" customHeight="1" x14ac:dyDescent="0.3">
      <c r="A115" s="59">
        <v>45449</v>
      </c>
      <c r="B115" s="68" t="s">
        <v>26</v>
      </c>
      <c r="C115" s="60" t="s">
        <v>247</v>
      </c>
      <c r="D115" s="61" t="s">
        <v>15</v>
      </c>
      <c r="E115" s="61" t="s">
        <v>488</v>
      </c>
      <c r="F115" s="62">
        <v>3465</v>
      </c>
      <c r="G115" s="62"/>
      <c r="H115" s="63" t="s">
        <v>211</v>
      </c>
      <c r="I115" s="64" t="s">
        <v>747</v>
      </c>
      <c r="J115" s="63" t="s">
        <v>188</v>
      </c>
    </row>
    <row r="116" spans="1:10" ht="26.4" customHeight="1" x14ac:dyDescent="0.3">
      <c r="A116" s="59">
        <v>45449</v>
      </c>
      <c r="B116" s="68" t="s">
        <v>28</v>
      </c>
      <c r="C116" s="60" t="s">
        <v>247</v>
      </c>
      <c r="D116" s="61" t="s">
        <v>15</v>
      </c>
      <c r="E116" s="61" t="s">
        <v>544</v>
      </c>
      <c r="F116" s="62">
        <v>0</v>
      </c>
      <c r="G116" s="62"/>
      <c r="H116" s="63" t="s">
        <v>745</v>
      </c>
      <c r="I116" s="62"/>
      <c r="J116" s="52" t="s">
        <v>744</v>
      </c>
    </row>
    <row r="117" spans="1:10" ht="26.4" customHeight="1" x14ac:dyDescent="0.3">
      <c r="A117" s="59">
        <v>45449</v>
      </c>
      <c r="B117" s="68" t="s">
        <v>28</v>
      </c>
      <c r="C117" s="60" t="s">
        <v>247</v>
      </c>
      <c r="D117" s="61" t="s">
        <v>15</v>
      </c>
      <c r="E117" s="61" t="s">
        <v>488</v>
      </c>
      <c r="F117" s="62">
        <v>3460</v>
      </c>
      <c r="G117" s="62"/>
      <c r="H117" s="52" t="s">
        <v>154</v>
      </c>
      <c r="I117" s="64" t="s">
        <v>747</v>
      </c>
      <c r="J117" s="63" t="s">
        <v>188</v>
      </c>
    </row>
    <row r="118" spans="1:10" ht="26.4" customHeight="1" x14ac:dyDescent="0.3">
      <c r="A118" s="59">
        <v>45632</v>
      </c>
      <c r="B118" s="55" t="s">
        <v>144</v>
      </c>
      <c r="C118" s="65" t="s">
        <v>145</v>
      </c>
      <c r="D118" s="61" t="s">
        <v>68</v>
      </c>
      <c r="E118" s="61" t="s">
        <v>545</v>
      </c>
      <c r="F118" s="62">
        <v>0</v>
      </c>
      <c r="G118" s="62"/>
      <c r="H118" s="63" t="s">
        <v>745</v>
      </c>
      <c r="I118" s="62"/>
      <c r="J118" s="52" t="s">
        <v>744</v>
      </c>
    </row>
    <row r="119" spans="1:10" ht="26.4" customHeight="1" x14ac:dyDescent="0.3">
      <c r="A119" s="59">
        <v>45632</v>
      </c>
      <c r="B119" s="55" t="s">
        <v>144</v>
      </c>
      <c r="C119" s="65" t="s">
        <v>145</v>
      </c>
      <c r="D119" s="61" t="s">
        <v>68</v>
      </c>
      <c r="E119" s="61" t="s">
        <v>488</v>
      </c>
      <c r="F119" s="62">
        <v>2085</v>
      </c>
      <c r="G119" s="62"/>
      <c r="H119" s="63" t="s">
        <v>211</v>
      </c>
      <c r="I119" s="64" t="s">
        <v>747</v>
      </c>
      <c r="J119" s="63" t="s">
        <v>188</v>
      </c>
    </row>
    <row r="120" spans="1:10" ht="26.4" customHeight="1" x14ac:dyDescent="0.3">
      <c r="A120" s="59">
        <v>45713</v>
      </c>
      <c r="B120" s="70" t="s">
        <v>214</v>
      </c>
      <c r="C120" s="65" t="s">
        <v>145</v>
      </c>
      <c r="D120" s="61" t="s">
        <v>68</v>
      </c>
      <c r="E120" s="61" t="s">
        <v>546</v>
      </c>
      <c r="F120" s="62">
        <v>0</v>
      </c>
      <c r="G120" s="62"/>
      <c r="H120" s="63" t="s">
        <v>745</v>
      </c>
      <c r="I120" s="62"/>
      <c r="J120" s="52" t="s">
        <v>744</v>
      </c>
    </row>
    <row r="121" spans="1:10" ht="26.4" customHeight="1" x14ac:dyDescent="0.3">
      <c r="A121" s="59">
        <v>45713</v>
      </c>
      <c r="B121" s="70" t="s">
        <v>214</v>
      </c>
      <c r="C121" s="65" t="s">
        <v>145</v>
      </c>
      <c r="D121" s="61" t="s">
        <v>68</v>
      </c>
      <c r="E121" s="61" t="s">
        <v>488</v>
      </c>
      <c r="F121" s="62">
        <v>2546</v>
      </c>
      <c r="G121" s="62"/>
      <c r="H121" s="52" t="s">
        <v>743</v>
      </c>
      <c r="I121" s="64" t="s">
        <v>747</v>
      </c>
      <c r="J121" s="63" t="s">
        <v>188</v>
      </c>
    </row>
    <row r="122" spans="1:10" ht="26.4" customHeight="1" x14ac:dyDescent="0.3">
      <c r="A122" s="59">
        <v>45568</v>
      </c>
      <c r="B122" s="67" t="s">
        <v>88</v>
      </c>
      <c r="C122" s="65" t="s">
        <v>89</v>
      </c>
      <c r="D122" s="61" t="s">
        <v>67</v>
      </c>
      <c r="E122" s="61" t="s">
        <v>529</v>
      </c>
      <c r="F122" s="62">
        <v>0</v>
      </c>
      <c r="G122" s="62"/>
      <c r="H122" s="63" t="s">
        <v>745</v>
      </c>
      <c r="I122" s="62"/>
      <c r="J122" s="52" t="s">
        <v>744</v>
      </c>
    </row>
    <row r="123" spans="1:10" ht="26.4" customHeight="1" x14ac:dyDescent="0.3">
      <c r="A123" s="59">
        <v>45568</v>
      </c>
      <c r="B123" s="67" t="s">
        <v>90</v>
      </c>
      <c r="C123" s="65" t="s">
        <v>89</v>
      </c>
      <c r="D123" s="61" t="s">
        <v>67</v>
      </c>
      <c r="E123" s="61" t="s">
        <v>499</v>
      </c>
      <c r="F123" s="62">
        <v>0</v>
      </c>
      <c r="G123" s="62"/>
      <c r="H123" s="63" t="s">
        <v>745</v>
      </c>
      <c r="I123" s="62"/>
      <c r="J123" s="52" t="s">
        <v>744</v>
      </c>
    </row>
    <row r="124" spans="1:10" ht="26.4" customHeight="1" x14ac:dyDescent="0.3">
      <c r="A124" s="59">
        <v>45527</v>
      </c>
      <c r="B124" s="67" t="s">
        <v>241</v>
      </c>
      <c r="C124" s="65" t="s">
        <v>64</v>
      </c>
      <c r="D124" s="61" t="s">
        <v>7</v>
      </c>
      <c r="E124" s="61" t="s">
        <v>509</v>
      </c>
      <c r="F124" s="62">
        <v>0</v>
      </c>
      <c r="G124" s="62"/>
      <c r="H124" s="63" t="s">
        <v>745</v>
      </c>
      <c r="I124" s="62"/>
      <c r="J124" s="52" t="s">
        <v>744</v>
      </c>
    </row>
    <row r="125" spans="1:10" ht="26.4" customHeight="1" x14ac:dyDescent="0.3">
      <c r="A125" s="59"/>
      <c r="B125" s="67" t="s">
        <v>241</v>
      </c>
      <c r="C125" s="65" t="s">
        <v>64</v>
      </c>
      <c r="D125" s="61" t="s">
        <v>7</v>
      </c>
      <c r="E125" s="61" t="s">
        <v>488</v>
      </c>
      <c r="F125" s="62">
        <v>2625</v>
      </c>
      <c r="G125" s="62"/>
      <c r="H125" s="63" t="s">
        <v>211</v>
      </c>
      <c r="I125" s="64" t="s">
        <v>747</v>
      </c>
      <c r="J125" s="63" t="s">
        <v>188</v>
      </c>
    </row>
    <row r="126" spans="1:10" ht="26.4" customHeight="1" x14ac:dyDescent="0.3">
      <c r="A126" s="59">
        <v>45659</v>
      </c>
      <c r="B126" s="70" t="s">
        <v>161</v>
      </c>
      <c r="C126" s="65" t="s">
        <v>64</v>
      </c>
      <c r="D126" s="61" t="s">
        <v>67</v>
      </c>
      <c r="E126" s="61" t="s">
        <v>547</v>
      </c>
      <c r="F126" s="62">
        <v>0</v>
      </c>
      <c r="G126" s="62"/>
      <c r="H126" s="63" t="s">
        <v>745</v>
      </c>
      <c r="I126" s="62"/>
      <c r="J126" s="52" t="s">
        <v>744</v>
      </c>
    </row>
    <row r="127" spans="1:10" ht="26.4" customHeight="1" x14ac:dyDescent="0.3">
      <c r="A127" s="59">
        <v>45671</v>
      </c>
      <c r="B127" s="70" t="s">
        <v>161</v>
      </c>
      <c r="C127" s="65" t="s">
        <v>64</v>
      </c>
      <c r="D127" s="61" t="s">
        <v>67</v>
      </c>
      <c r="E127" s="61" t="s">
        <v>488</v>
      </c>
      <c r="F127" s="62">
        <v>9</v>
      </c>
      <c r="G127" s="62"/>
      <c r="H127" s="63" t="s">
        <v>211</v>
      </c>
      <c r="I127" s="64" t="s">
        <v>747</v>
      </c>
      <c r="J127" s="63" t="s">
        <v>188</v>
      </c>
    </row>
    <row r="128" spans="1:10" ht="26.4" customHeight="1" x14ac:dyDescent="0.3">
      <c r="A128" s="59">
        <v>45671</v>
      </c>
      <c r="B128" s="70" t="s">
        <v>161</v>
      </c>
      <c r="C128" s="65" t="s">
        <v>64</v>
      </c>
      <c r="D128" s="61" t="s">
        <v>67</v>
      </c>
      <c r="E128" s="61" t="s">
        <v>488</v>
      </c>
      <c r="F128" s="62">
        <v>2700</v>
      </c>
      <c r="G128" s="62"/>
      <c r="H128" s="52" t="s">
        <v>154</v>
      </c>
      <c r="I128" s="64" t="s">
        <v>747</v>
      </c>
      <c r="J128" s="63" t="s">
        <v>188</v>
      </c>
    </row>
    <row r="129" spans="1:10" ht="26.4" customHeight="1" x14ac:dyDescent="0.3">
      <c r="A129" s="59">
        <v>45694</v>
      </c>
      <c r="B129" s="70" t="s">
        <v>206</v>
      </c>
      <c r="C129" s="65" t="s">
        <v>64</v>
      </c>
      <c r="D129" s="61" t="s">
        <v>67</v>
      </c>
      <c r="E129" s="61" t="s">
        <v>499</v>
      </c>
      <c r="F129" s="62">
        <v>0</v>
      </c>
      <c r="G129" s="62"/>
      <c r="H129" s="63" t="s">
        <v>745</v>
      </c>
      <c r="I129" s="62"/>
      <c r="J129" s="52" t="s">
        <v>744</v>
      </c>
    </row>
    <row r="130" spans="1:10" ht="26.4" customHeight="1" x14ac:dyDescent="0.3">
      <c r="A130" s="59">
        <v>45694</v>
      </c>
      <c r="B130" s="70" t="s">
        <v>206</v>
      </c>
      <c r="C130" s="65" t="s">
        <v>64</v>
      </c>
      <c r="D130" s="61" t="s">
        <v>67</v>
      </c>
      <c r="E130" s="61" t="s">
        <v>488</v>
      </c>
      <c r="F130" s="62">
        <v>1570</v>
      </c>
      <c r="G130" s="62"/>
      <c r="H130" s="52" t="s">
        <v>154</v>
      </c>
      <c r="I130" s="64" t="s">
        <v>747</v>
      </c>
      <c r="J130" s="63" t="s">
        <v>188</v>
      </c>
    </row>
    <row r="131" spans="1:10" ht="26.4" customHeight="1" x14ac:dyDescent="0.3">
      <c r="A131" s="59">
        <v>45694</v>
      </c>
      <c r="B131" s="70" t="s">
        <v>206</v>
      </c>
      <c r="C131" s="65" t="s">
        <v>64</v>
      </c>
      <c r="D131" s="61" t="s">
        <v>67</v>
      </c>
      <c r="E131" s="61" t="s">
        <v>488</v>
      </c>
      <c r="F131" s="62">
        <v>5</v>
      </c>
      <c r="G131" s="62"/>
      <c r="H131" s="52" t="s">
        <v>154</v>
      </c>
      <c r="I131" s="64" t="s">
        <v>747</v>
      </c>
      <c r="J131" s="63" t="s">
        <v>188</v>
      </c>
    </row>
    <row r="132" spans="1:10" ht="26.4" customHeight="1" x14ac:dyDescent="0.3">
      <c r="A132" s="59">
        <v>45740</v>
      </c>
      <c r="B132" s="55" t="s">
        <v>233</v>
      </c>
      <c r="C132" s="65" t="s">
        <v>64</v>
      </c>
      <c r="D132" s="61" t="s">
        <v>67</v>
      </c>
      <c r="E132" s="61" t="s">
        <v>548</v>
      </c>
      <c r="F132" s="62">
        <v>0</v>
      </c>
      <c r="G132" s="62"/>
      <c r="H132" s="63" t="s">
        <v>745</v>
      </c>
      <c r="I132" s="62"/>
      <c r="J132" s="52" t="s">
        <v>744</v>
      </c>
    </row>
    <row r="133" spans="1:10" ht="26.4" customHeight="1" x14ac:dyDescent="0.3">
      <c r="A133" s="59">
        <v>45740</v>
      </c>
      <c r="B133" s="55" t="s">
        <v>234</v>
      </c>
      <c r="C133" s="65" t="s">
        <v>64</v>
      </c>
      <c r="D133" s="61" t="s">
        <v>67</v>
      </c>
      <c r="E133" s="61" t="s">
        <v>499</v>
      </c>
      <c r="F133" s="62">
        <v>0</v>
      </c>
      <c r="G133" s="62"/>
      <c r="H133" s="63" t="s">
        <v>745</v>
      </c>
      <c r="I133" s="62"/>
      <c r="J133" s="52" t="s">
        <v>744</v>
      </c>
    </row>
    <row r="134" spans="1:10" ht="26.4" customHeight="1" x14ac:dyDescent="0.3">
      <c r="A134" s="59">
        <v>45525</v>
      </c>
      <c r="B134" s="67" t="s">
        <v>50</v>
      </c>
      <c r="C134" s="65" t="s">
        <v>51</v>
      </c>
      <c r="D134" s="61" t="s">
        <v>7</v>
      </c>
      <c r="E134" s="61" t="s">
        <v>549</v>
      </c>
      <c r="F134" s="62">
        <v>1928</v>
      </c>
      <c r="G134" s="62"/>
      <c r="H134" s="52" t="s">
        <v>154</v>
      </c>
      <c r="I134" s="62"/>
      <c r="J134" s="52"/>
    </row>
    <row r="135" spans="1:10" ht="26.4" customHeight="1" x14ac:dyDescent="0.3">
      <c r="A135" s="59">
        <v>45525</v>
      </c>
      <c r="B135" s="67" t="s">
        <v>52</v>
      </c>
      <c r="C135" s="65" t="s">
        <v>51</v>
      </c>
      <c r="D135" s="61" t="s">
        <v>7</v>
      </c>
      <c r="E135" s="61" t="s">
        <v>550</v>
      </c>
      <c r="F135" s="62">
        <v>15902</v>
      </c>
      <c r="G135" s="62"/>
      <c r="H135" s="52" t="s">
        <v>154</v>
      </c>
      <c r="I135" s="62"/>
      <c r="J135" s="52"/>
    </row>
    <row r="136" spans="1:10" ht="26.4" customHeight="1" x14ac:dyDescent="0.3">
      <c r="A136" s="59">
        <v>45407</v>
      </c>
      <c r="B136" s="68" t="s">
        <v>10</v>
      </c>
      <c r="C136" s="60" t="s">
        <v>11</v>
      </c>
      <c r="D136" s="61" t="s">
        <v>7</v>
      </c>
      <c r="E136" s="61" t="s">
        <v>551</v>
      </c>
      <c r="F136" s="62">
        <v>0</v>
      </c>
      <c r="G136" s="62"/>
      <c r="H136" s="63" t="s">
        <v>745</v>
      </c>
      <c r="I136" s="62"/>
      <c r="J136" s="52" t="s">
        <v>744</v>
      </c>
    </row>
    <row r="137" spans="1:10" ht="26.4" customHeight="1" x14ac:dyDescent="0.3">
      <c r="A137" s="59">
        <v>45772</v>
      </c>
      <c r="B137" s="68" t="s">
        <v>10</v>
      </c>
      <c r="C137" s="65" t="s">
        <v>11</v>
      </c>
      <c r="D137" s="61" t="s">
        <v>67</v>
      </c>
      <c r="E137" s="61" t="s">
        <v>488</v>
      </c>
      <c r="F137" s="62">
        <v>2520</v>
      </c>
      <c r="G137" s="62"/>
      <c r="H137" s="52" t="s">
        <v>154</v>
      </c>
      <c r="I137" s="64" t="s">
        <v>747</v>
      </c>
      <c r="J137" s="63" t="s">
        <v>188</v>
      </c>
    </row>
    <row r="138" spans="1:10" ht="26.4" customHeight="1" x14ac:dyDescent="0.3">
      <c r="A138" s="59">
        <v>45497</v>
      </c>
      <c r="B138" s="66" t="s">
        <v>39</v>
      </c>
      <c r="C138" s="65" t="s">
        <v>40</v>
      </c>
      <c r="D138" s="61" t="s">
        <v>7</v>
      </c>
      <c r="E138" s="61" t="s">
        <v>552</v>
      </c>
      <c r="F138" s="62">
        <v>0</v>
      </c>
      <c r="G138" s="62"/>
      <c r="H138" s="63" t="s">
        <v>745</v>
      </c>
      <c r="I138" s="62"/>
      <c r="J138" s="52" t="s">
        <v>744</v>
      </c>
    </row>
    <row r="139" spans="1:10" ht="26.4" customHeight="1" x14ac:dyDescent="0.3">
      <c r="A139" s="59">
        <v>45497</v>
      </c>
      <c r="B139" s="66" t="s">
        <v>39</v>
      </c>
      <c r="C139" s="65" t="s">
        <v>40</v>
      </c>
      <c r="D139" s="61" t="s">
        <v>7</v>
      </c>
      <c r="E139" s="61" t="s">
        <v>488</v>
      </c>
      <c r="F139" s="62">
        <v>18532</v>
      </c>
      <c r="G139" s="62"/>
      <c r="H139" s="52" t="s">
        <v>154</v>
      </c>
      <c r="I139" s="64" t="s">
        <v>747</v>
      </c>
      <c r="J139" s="63" t="s">
        <v>188</v>
      </c>
    </row>
    <row r="140" spans="1:10" ht="26.4" customHeight="1" x14ac:dyDescent="0.3">
      <c r="A140" s="59">
        <v>45497</v>
      </c>
      <c r="B140" s="66" t="s">
        <v>41</v>
      </c>
      <c r="C140" s="65" t="s">
        <v>40</v>
      </c>
      <c r="D140" s="61" t="s">
        <v>7</v>
      </c>
      <c r="E140" s="61" t="s">
        <v>553</v>
      </c>
      <c r="F140" s="62">
        <v>0</v>
      </c>
      <c r="G140" s="62"/>
      <c r="H140" s="63" t="s">
        <v>745</v>
      </c>
      <c r="I140" s="62"/>
      <c r="J140" s="52" t="s">
        <v>744</v>
      </c>
    </row>
    <row r="141" spans="1:10" ht="26.4" customHeight="1" x14ac:dyDescent="0.3">
      <c r="A141" s="59">
        <v>45497</v>
      </c>
      <c r="B141" s="66" t="s">
        <v>41</v>
      </c>
      <c r="C141" s="65" t="s">
        <v>40</v>
      </c>
      <c r="D141" s="61" t="s">
        <v>7</v>
      </c>
      <c r="E141" s="61" t="s">
        <v>488</v>
      </c>
      <c r="F141" s="62">
        <v>945</v>
      </c>
      <c r="G141" s="62"/>
      <c r="H141" s="52" t="s">
        <v>154</v>
      </c>
      <c r="I141" s="64" t="s">
        <v>747</v>
      </c>
      <c r="J141" s="63" t="s">
        <v>188</v>
      </c>
    </row>
    <row r="142" spans="1:10" ht="26.4" customHeight="1" x14ac:dyDescent="0.3">
      <c r="A142" s="59">
        <v>45601</v>
      </c>
      <c r="B142" s="55" t="s">
        <v>114</v>
      </c>
      <c r="C142" s="65" t="s">
        <v>40</v>
      </c>
      <c r="D142" s="61" t="s">
        <v>67</v>
      </c>
      <c r="E142" s="61" t="s">
        <v>554</v>
      </c>
      <c r="F142" s="62">
        <v>0</v>
      </c>
      <c r="G142" s="62"/>
      <c r="H142" s="63" t="s">
        <v>745</v>
      </c>
      <c r="I142" s="62"/>
      <c r="J142" s="52" t="s">
        <v>744</v>
      </c>
    </row>
    <row r="143" spans="1:10" ht="26.4" customHeight="1" x14ac:dyDescent="0.3">
      <c r="A143" s="59">
        <v>45601</v>
      </c>
      <c r="B143" s="55" t="s">
        <v>114</v>
      </c>
      <c r="C143" s="65" t="s">
        <v>40</v>
      </c>
      <c r="D143" s="61" t="s">
        <v>67</v>
      </c>
      <c r="E143" s="61" t="s">
        <v>488</v>
      </c>
      <c r="F143" s="62">
        <v>1500</v>
      </c>
      <c r="G143" s="62"/>
      <c r="H143" s="52" t="s">
        <v>154</v>
      </c>
      <c r="I143" s="64" t="s">
        <v>747</v>
      </c>
      <c r="J143" s="63" t="s">
        <v>188</v>
      </c>
    </row>
    <row r="144" spans="1:10" ht="26.4" customHeight="1" x14ac:dyDescent="0.3">
      <c r="A144" s="59">
        <v>45684</v>
      </c>
      <c r="B144" s="55" t="s">
        <v>199</v>
      </c>
      <c r="C144" s="65" t="s">
        <v>193</v>
      </c>
      <c r="D144" s="61" t="s">
        <v>68</v>
      </c>
      <c r="E144" s="61" t="s">
        <v>555</v>
      </c>
      <c r="F144" s="62">
        <v>0</v>
      </c>
      <c r="G144" s="62"/>
      <c r="H144" s="63" t="s">
        <v>745</v>
      </c>
      <c r="I144" s="62"/>
      <c r="J144" s="52" t="s">
        <v>744</v>
      </c>
    </row>
    <row r="145" spans="1:10" ht="26.4" customHeight="1" x14ac:dyDescent="0.3">
      <c r="A145" s="59">
        <v>45684</v>
      </c>
      <c r="B145" s="55" t="s">
        <v>198</v>
      </c>
      <c r="C145" s="65" t="s">
        <v>193</v>
      </c>
      <c r="D145" s="61" t="s">
        <v>68</v>
      </c>
      <c r="E145" s="61" t="s">
        <v>556</v>
      </c>
      <c r="F145" s="62">
        <v>0</v>
      </c>
      <c r="G145" s="62"/>
      <c r="H145" s="63" t="s">
        <v>745</v>
      </c>
      <c r="I145" s="62"/>
      <c r="J145" s="52" t="s">
        <v>744</v>
      </c>
    </row>
    <row r="146" spans="1:10" ht="26.4" customHeight="1" x14ac:dyDescent="0.3">
      <c r="A146" s="59">
        <v>45693</v>
      </c>
      <c r="B146" s="65" t="s">
        <v>251</v>
      </c>
      <c r="C146" s="65" t="s">
        <v>193</v>
      </c>
      <c r="D146" s="61" t="s">
        <v>68</v>
      </c>
      <c r="E146" s="61" t="s">
        <v>488</v>
      </c>
      <c r="F146" s="62">
        <v>16800</v>
      </c>
      <c r="G146" s="62"/>
      <c r="H146" s="52" t="s">
        <v>154</v>
      </c>
      <c r="I146" s="64" t="s">
        <v>747</v>
      </c>
      <c r="J146" s="63" t="s">
        <v>188</v>
      </c>
    </row>
    <row r="147" spans="1:10" ht="26.4" customHeight="1" x14ac:dyDescent="0.3">
      <c r="A147" s="59">
        <v>45743</v>
      </c>
      <c r="B147" s="55" t="s">
        <v>250</v>
      </c>
      <c r="C147" s="65" t="s">
        <v>193</v>
      </c>
      <c r="D147" s="61" t="s">
        <v>68</v>
      </c>
      <c r="E147" s="61" t="s">
        <v>557</v>
      </c>
      <c r="F147" s="62">
        <v>0</v>
      </c>
      <c r="G147" s="62"/>
      <c r="H147" s="63" t="s">
        <v>745</v>
      </c>
      <c r="I147" s="62"/>
      <c r="J147" s="52" t="s">
        <v>744</v>
      </c>
    </row>
    <row r="148" spans="1:10" ht="26.4" customHeight="1" x14ac:dyDescent="0.3">
      <c r="A148" s="59">
        <v>45671</v>
      </c>
      <c r="B148" s="55" t="s">
        <v>173</v>
      </c>
      <c r="C148" s="65" t="s">
        <v>174</v>
      </c>
      <c r="D148" s="61" t="s">
        <v>67</v>
      </c>
      <c r="E148" s="61" t="s">
        <v>558</v>
      </c>
      <c r="F148" s="62">
        <v>0</v>
      </c>
      <c r="G148" s="62"/>
      <c r="H148" s="63" t="s">
        <v>745</v>
      </c>
      <c r="I148" s="62"/>
      <c r="J148" s="52" t="s">
        <v>744</v>
      </c>
    </row>
    <row r="149" spans="1:10" ht="26.4" customHeight="1" x14ac:dyDescent="0.3">
      <c r="A149" s="59">
        <v>45677</v>
      </c>
      <c r="B149" s="55" t="s">
        <v>173</v>
      </c>
      <c r="C149" s="65" t="s">
        <v>174</v>
      </c>
      <c r="D149" s="61" t="s">
        <v>67</v>
      </c>
      <c r="E149" s="61" t="s">
        <v>488</v>
      </c>
      <c r="F149" s="62">
        <v>1568</v>
      </c>
      <c r="G149" s="62"/>
      <c r="H149" s="52" t="s">
        <v>154</v>
      </c>
      <c r="I149" s="64" t="s">
        <v>747</v>
      </c>
      <c r="J149" s="63" t="s">
        <v>188</v>
      </c>
    </row>
    <row r="150" spans="1:10" ht="26.4" customHeight="1" x14ac:dyDescent="0.3">
      <c r="A150" s="59">
        <v>45532</v>
      </c>
      <c r="B150" s="67" t="s">
        <v>72</v>
      </c>
      <c r="C150" s="65" t="s">
        <v>73</v>
      </c>
      <c r="D150" s="61" t="s">
        <v>67</v>
      </c>
      <c r="E150" s="61" t="s">
        <v>559</v>
      </c>
      <c r="F150" s="62">
        <v>2016</v>
      </c>
      <c r="G150" s="62"/>
      <c r="H150" s="52" t="s">
        <v>154</v>
      </c>
      <c r="I150" s="62"/>
      <c r="J150" s="52"/>
    </row>
    <row r="151" spans="1:10" ht="26.4" customHeight="1" x14ac:dyDescent="0.3">
      <c r="A151" s="59">
        <v>45633</v>
      </c>
      <c r="B151" s="70" t="s">
        <v>139</v>
      </c>
      <c r="C151" s="65" t="s">
        <v>73</v>
      </c>
      <c r="D151" s="61" t="s">
        <v>67</v>
      </c>
      <c r="E151" s="61" t="s">
        <v>560</v>
      </c>
      <c r="F151" s="62">
        <v>0</v>
      </c>
      <c r="G151" s="62"/>
      <c r="H151" s="63" t="s">
        <v>745</v>
      </c>
      <c r="I151" s="62"/>
      <c r="J151" s="52" t="s">
        <v>744</v>
      </c>
    </row>
    <row r="152" spans="1:10" ht="26.4" customHeight="1" x14ac:dyDescent="0.3">
      <c r="A152" s="59">
        <v>45642</v>
      </c>
      <c r="B152" s="70" t="s">
        <v>155</v>
      </c>
      <c r="C152" s="65" t="s">
        <v>73</v>
      </c>
      <c r="D152" s="61" t="s">
        <v>67</v>
      </c>
      <c r="E152" s="61" t="s">
        <v>561</v>
      </c>
      <c r="F152" s="62">
        <v>0</v>
      </c>
      <c r="G152" s="62"/>
      <c r="H152" s="63" t="s">
        <v>745</v>
      </c>
      <c r="I152" s="62"/>
      <c r="J152" s="52" t="s">
        <v>744</v>
      </c>
    </row>
    <row r="153" spans="1:10" ht="26.4" customHeight="1" x14ac:dyDescent="0.3">
      <c r="A153" s="59">
        <v>45688</v>
      </c>
      <c r="C153" s="65" t="s">
        <v>73</v>
      </c>
      <c r="D153" s="61" t="s">
        <v>67</v>
      </c>
      <c r="E153" s="61" t="s">
        <v>488</v>
      </c>
      <c r="F153" s="62">
        <v>7336</v>
      </c>
      <c r="G153" s="62"/>
      <c r="H153" s="63" t="s">
        <v>211</v>
      </c>
      <c r="I153" s="64" t="s">
        <v>747</v>
      </c>
      <c r="J153" s="63" t="s">
        <v>188</v>
      </c>
    </row>
    <row r="154" spans="1:10" ht="26.4" customHeight="1" x14ac:dyDescent="0.3">
      <c r="A154" s="59">
        <v>45680</v>
      </c>
      <c r="B154" s="70" t="s">
        <v>179</v>
      </c>
      <c r="C154" s="65" t="s">
        <v>180</v>
      </c>
      <c r="D154" s="61" t="s">
        <v>68</v>
      </c>
      <c r="E154" s="61" t="s">
        <v>562</v>
      </c>
      <c r="F154" s="62">
        <v>0</v>
      </c>
      <c r="G154" s="62"/>
      <c r="H154" s="63" t="s">
        <v>745</v>
      </c>
      <c r="I154" s="62"/>
      <c r="J154" s="52" t="s">
        <v>744</v>
      </c>
    </row>
    <row r="155" spans="1:10" ht="26.4" customHeight="1" x14ac:dyDescent="0.3">
      <c r="A155" s="59">
        <v>45680</v>
      </c>
      <c r="B155" s="70" t="s">
        <v>179</v>
      </c>
      <c r="C155" s="65" t="s">
        <v>180</v>
      </c>
      <c r="D155" s="61" t="s">
        <v>68</v>
      </c>
      <c r="E155" s="61" t="s">
        <v>488</v>
      </c>
      <c r="F155" s="62">
        <v>1500</v>
      </c>
      <c r="G155" s="62"/>
      <c r="H155" s="63" t="s">
        <v>211</v>
      </c>
      <c r="I155" s="64" t="s">
        <v>747</v>
      </c>
      <c r="J155" s="63" t="s">
        <v>188</v>
      </c>
    </row>
    <row r="156" spans="1:10" ht="26.4" customHeight="1" x14ac:dyDescent="0.3">
      <c r="A156" s="59">
        <v>45600</v>
      </c>
      <c r="B156" s="67" t="s">
        <v>110</v>
      </c>
      <c r="C156" s="65" t="s">
        <v>111</v>
      </c>
      <c r="D156" s="61" t="s">
        <v>67</v>
      </c>
      <c r="E156" s="61" t="s">
        <v>563</v>
      </c>
      <c r="F156" s="62">
        <v>16910</v>
      </c>
      <c r="G156" s="62"/>
      <c r="H156" s="52" t="s">
        <v>154</v>
      </c>
      <c r="I156" s="62"/>
      <c r="J156" s="52"/>
    </row>
    <row r="157" spans="1:10" ht="26.4" customHeight="1" x14ac:dyDescent="0.3">
      <c r="A157" s="59">
        <v>45600</v>
      </c>
      <c r="B157" s="67" t="s">
        <v>112</v>
      </c>
      <c r="C157" s="65" t="s">
        <v>111</v>
      </c>
      <c r="D157" s="61" t="s">
        <v>67</v>
      </c>
      <c r="E157" s="61" t="s">
        <v>564</v>
      </c>
      <c r="F157" s="62">
        <v>1850</v>
      </c>
      <c r="G157" s="62"/>
      <c r="H157" s="52" t="s">
        <v>154</v>
      </c>
      <c r="I157" s="62"/>
      <c r="J157" s="52"/>
    </row>
    <row r="158" spans="1:10" ht="26.4" customHeight="1" x14ac:dyDescent="0.3">
      <c r="A158" s="59">
        <v>45684</v>
      </c>
      <c r="B158" s="70" t="s">
        <v>184</v>
      </c>
      <c r="C158" s="65" t="s">
        <v>111</v>
      </c>
      <c r="D158" s="61" t="s">
        <v>67</v>
      </c>
      <c r="E158" s="61" t="s">
        <v>565</v>
      </c>
      <c r="F158" s="62">
        <v>0</v>
      </c>
      <c r="G158" s="62"/>
      <c r="H158" s="63" t="s">
        <v>745</v>
      </c>
      <c r="I158" s="62"/>
      <c r="J158" s="52" t="s">
        <v>744</v>
      </c>
    </row>
    <row r="159" spans="1:10" ht="26.4" customHeight="1" x14ac:dyDescent="0.3">
      <c r="A159" s="59">
        <v>45608</v>
      </c>
      <c r="B159" s="55" t="s">
        <v>129</v>
      </c>
      <c r="C159" s="65" t="s">
        <v>130</v>
      </c>
      <c r="D159" s="61" t="s">
        <v>68</v>
      </c>
      <c r="E159" s="61" t="s">
        <v>491</v>
      </c>
      <c r="F159" s="62">
        <v>0</v>
      </c>
      <c r="G159" s="62"/>
      <c r="H159" s="63" t="s">
        <v>745</v>
      </c>
      <c r="I159" s="62"/>
      <c r="J159" s="52" t="s">
        <v>744</v>
      </c>
    </row>
    <row r="160" spans="1:10" ht="26.4" customHeight="1" x14ac:dyDescent="0.3">
      <c r="A160" s="59">
        <v>45611</v>
      </c>
      <c r="B160" s="55" t="s">
        <v>131</v>
      </c>
      <c r="C160" s="65" t="s">
        <v>130</v>
      </c>
      <c r="D160" s="61" t="s">
        <v>68</v>
      </c>
      <c r="E160" s="61" t="s">
        <v>566</v>
      </c>
      <c r="F160" s="62">
        <v>0</v>
      </c>
      <c r="G160" s="62"/>
      <c r="H160" s="63" t="s">
        <v>745</v>
      </c>
      <c r="I160" s="62"/>
      <c r="J160" s="52" t="s">
        <v>744</v>
      </c>
    </row>
    <row r="161" spans="1:10" ht="26.4" customHeight="1" x14ac:dyDescent="0.3">
      <c r="A161" s="59">
        <v>45608</v>
      </c>
      <c r="B161" s="55" t="s">
        <v>129</v>
      </c>
      <c r="C161" s="65" t="s">
        <v>130</v>
      </c>
      <c r="D161" s="61" t="s">
        <v>68</v>
      </c>
      <c r="E161" s="61" t="s">
        <v>488</v>
      </c>
      <c r="F161" s="62">
        <v>1650</v>
      </c>
      <c r="G161" s="62"/>
      <c r="H161" s="52" t="s">
        <v>154</v>
      </c>
      <c r="I161" s="64" t="s">
        <v>747</v>
      </c>
      <c r="J161" s="63" t="s">
        <v>188</v>
      </c>
    </row>
    <row r="162" spans="1:10" ht="26.4" customHeight="1" x14ac:dyDescent="0.3">
      <c r="A162" s="59">
        <v>45611</v>
      </c>
      <c r="B162" s="55" t="s">
        <v>131</v>
      </c>
      <c r="C162" s="65" t="s">
        <v>130</v>
      </c>
      <c r="D162" s="61" t="s">
        <v>68</v>
      </c>
      <c r="E162" s="61" t="s">
        <v>488</v>
      </c>
      <c r="F162" s="62">
        <v>19350</v>
      </c>
      <c r="G162" s="62"/>
      <c r="H162" s="63" t="s">
        <v>211</v>
      </c>
      <c r="I162" s="64" t="s">
        <v>747</v>
      </c>
      <c r="J162" s="63" t="s">
        <v>188</v>
      </c>
    </row>
    <row r="163" spans="1:10" ht="26.4" customHeight="1" x14ac:dyDescent="0.3">
      <c r="A163" s="59">
        <v>45572</v>
      </c>
      <c r="B163" s="55" t="s">
        <v>97</v>
      </c>
      <c r="C163" s="65" t="s">
        <v>98</v>
      </c>
      <c r="D163" s="61" t="s">
        <v>67</v>
      </c>
      <c r="E163" s="61" t="s">
        <v>540</v>
      </c>
      <c r="F163" s="62">
        <v>0</v>
      </c>
      <c r="G163" s="62"/>
      <c r="H163" s="63" t="s">
        <v>745</v>
      </c>
      <c r="I163" s="62"/>
      <c r="J163" s="52" t="s">
        <v>744</v>
      </c>
    </row>
    <row r="164" spans="1:10" ht="26.4" customHeight="1" x14ac:dyDescent="0.3">
      <c r="A164" s="59">
        <v>45572</v>
      </c>
      <c r="B164" s="67" t="s">
        <v>99</v>
      </c>
      <c r="C164" s="65" t="s">
        <v>98</v>
      </c>
      <c r="D164" s="61" t="s">
        <v>67</v>
      </c>
      <c r="E164" s="61" t="s">
        <v>567</v>
      </c>
      <c r="F164" s="62">
        <v>0</v>
      </c>
      <c r="G164" s="62"/>
      <c r="H164" s="63" t="s">
        <v>745</v>
      </c>
      <c r="I164" s="62"/>
      <c r="J164" s="52" t="s">
        <v>744</v>
      </c>
    </row>
    <row r="165" spans="1:10" ht="26.4" customHeight="1" x14ac:dyDescent="0.3">
      <c r="A165" s="59">
        <v>45573</v>
      </c>
      <c r="B165" s="67" t="s">
        <v>99</v>
      </c>
      <c r="C165" s="65" t="s">
        <v>98</v>
      </c>
      <c r="D165" s="61" t="s">
        <v>67</v>
      </c>
      <c r="E165" s="61" t="s">
        <v>488</v>
      </c>
      <c r="F165" s="62">
        <v>8500</v>
      </c>
      <c r="G165" s="62"/>
      <c r="H165" s="63" t="s">
        <v>211</v>
      </c>
      <c r="I165" s="64" t="s">
        <v>747</v>
      </c>
      <c r="J165" s="63" t="s">
        <v>188</v>
      </c>
    </row>
    <row r="166" spans="1:10" ht="26.4" customHeight="1" x14ac:dyDescent="0.3">
      <c r="A166" s="59">
        <v>45623</v>
      </c>
      <c r="B166" s="67" t="s">
        <v>99</v>
      </c>
      <c r="C166" s="65" t="s">
        <v>98</v>
      </c>
      <c r="D166" s="61" t="s">
        <v>67</v>
      </c>
      <c r="E166" s="61" t="s">
        <v>488</v>
      </c>
      <c r="F166" s="62">
        <v>8500</v>
      </c>
      <c r="G166" s="62"/>
      <c r="H166" s="63" t="s">
        <v>211</v>
      </c>
      <c r="I166" s="64" t="s">
        <v>747</v>
      </c>
      <c r="J166" s="63" t="s">
        <v>188</v>
      </c>
    </row>
    <row r="167" spans="1:10" ht="26.4" customHeight="1" x14ac:dyDescent="0.3">
      <c r="A167" s="59">
        <v>45609</v>
      </c>
      <c r="B167" s="55" t="s">
        <v>118</v>
      </c>
      <c r="C167" s="65" t="s">
        <v>119</v>
      </c>
      <c r="D167" s="61" t="s">
        <v>67</v>
      </c>
      <c r="E167" s="61" t="s">
        <v>568</v>
      </c>
      <c r="F167" s="62">
        <v>3175.51</v>
      </c>
      <c r="G167" s="62"/>
      <c r="H167" s="52" t="s">
        <v>743</v>
      </c>
      <c r="I167" s="62"/>
      <c r="J167" s="52"/>
    </row>
    <row r="168" spans="1:10" ht="26.4" customHeight="1" x14ac:dyDescent="0.3">
      <c r="A168" s="59">
        <v>45659</v>
      </c>
      <c r="B168" s="55" t="s">
        <v>162</v>
      </c>
      <c r="C168" s="65" t="s">
        <v>163</v>
      </c>
      <c r="D168" s="61" t="s">
        <v>67</v>
      </c>
      <c r="E168" s="61" t="s">
        <v>569</v>
      </c>
      <c r="F168" s="62">
        <v>0</v>
      </c>
      <c r="G168" s="62"/>
      <c r="H168" s="63" t="s">
        <v>745</v>
      </c>
      <c r="I168" s="62"/>
      <c r="J168" s="52" t="s">
        <v>744</v>
      </c>
    </row>
    <row r="169" spans="1:10" ht="26.4" customHeight="1" x14ac:dyDescent="0.3">
      <c r="A169" s="59">
        <v>45659</v>
      </c>
      <c r="B169" s="55" t="s">
        <v>164</v>
      </c>
      <c r="C169" s="65" t="s">
        <v>163</v>
      </c>
      <c r="D169" s="61" t="s">
        <v>67</v>
      </c>
      <c r="E169" s="61" t="s">
        <v>570</v>
      </c>
      <c r="F169" s="62">
        <v>0</v>
      </c>
      <c r="G169" s="62"/>
      <c r="H169" s="63" t="s">
        <v>745</v>
      </c>
      <c r="I169" s="62"/>
      <c r="J169" s="52" t="s">
        <v>744</v>
      </c>
    </row>
    <row r="170" spans="1:10" ht="26.4" customHeight="1" x14ac:dyDescent="0.3">
      <c r="A170" s="59">
        <v>45671</v>
      </c>
      <c r="C170" s="65" t="s">
        <v>163</v>
      </c>
      <c r="D170" s="61" t="s">
        <v>67</v>
      </c>
      <c r="E170" s="61" t="s">
        <v>488</v>
      </c>
      <c r="F170" s="62">
        <v>10000</v>
      </c>
      <c r="G170" s="62"/>
      <c r="H170" s="52" t="s">
        <v>154</v>
      </c>
      <c r="I170" s="64" t="s">
        <v>747</v>
      </c>
      <c r="J170" s="63" t="s">
        <v>188</v>
      </c>
    </row>
    <row r="171" spans="1:10" ht="26.4" customHeight="1" x14ac:dyDescent="0.3">
      <c r="A171" s="59">
        <v>45700</v>
      </c>
      <c r="B171" s="55" t="s">
        <v>240</v>
      </c>
      <c r="C171" s="65" t="s">
        <v>163</v>
      </c>
      <c r="D171" s="61" t="s">
        <v>67</v>
      </c>
      <c r="E171" s="61" t="s">
        <v>516</v>
      </c>
      <c r="F171" s="62">
        <v>0</v>
      </c>
      <c r="G171" s="62"/>
      <c r="H171" s="63" t="s">
        <v>745</v>
      </c>
      <c r="I171" s="62"/>
      <c r="J171" s="52" t="s">
        <v>744</v>
      </c>
    </row>
    <row r="172" spans="1:10" ht="26.4" customHeight="1" x14ac:dyDescent="0.3">
      <c r="A172" s="59">
        <v>45744</v>
      </c>
      <c r="B172" s="55" t="s">
        <v>240</v>
      </c>
      <c r="C172" s="65" t="s">
        <v>163</v>
      </c>
      <c r="D172" s="61" t="s">
        <v>67</v>
      </c>
      <c r="E172" s="61" t="s">
        <v>488</v>
      </c>
      <c r="F172" s="62">
        <v>1260</v>
      </c>
      <c r="G172" s="62"/>
      <c r="H172" s="52" t="s">
        <v>154</v>
      </c>
      <c r="I172" s="64" t="s">
        <v>747</v>
      </c>
      <c r="J172" s="63" t="s">
        <v>188</v>
      </c>
    </row>
    <row r="173" spans="1:10" ht="26.4" customHeight="1" x14ac:dyDescent="0.3">
      <c r="A173" s="59">
        <v>45637</v>
      </c>
      <c r="B173" s="65" t="s">
        <v>148</v>
      </c>
      <c r="C173" s="65" t="s">
        <v>150</v>
      </c>
      <c r="D173" s="61" t="s">
        <v>149</v>
      </c>
      <c r="E173" s="61" t="s">
        <v>571</v>
      </c>
      <c r="F173" s="62">
        <v>0</v>
      </c>
      <c r="G173" s="62"/>
      <c r="H173" s="63" t="s">
        <v>745</v>
      </c>
      <c r="I173" s="62"/>
      <c r="J173" s="52" t="s">
        <v>744</v>
      </c>
    </row>
    <row r="174" spans="1:10" ht="26.4" customHeight="1" x14ac:dyDescent="0.3">
      <c r="A174" s="59">
        <v>45637</v>
      </c>
      <c r="B174" s="65" t="s">
        <v>148</v>
      </c>
      <c r="C174" s="65" t="s">
        <v>150</v>
      </c>
      <c r="D174" s="61" t="s">
        <v>149</v>
      </c>
      <c r="E174" s="61" t="s">
        <v>488</v>
      </c>
      <c r="F174" s="62">
        <v>1155</v>
      </c>
      <c r="G174" s="62"/>
      <c r="H174" s="52" t="s">
        <v>154</v>
      </c>
      <c r="I174" s="64" t="s">
        <v>747</v>
      </c>
      <c r="J174" s="63" t="s">
        <v>188</v>
      </c>
    </row>
    <row r="175" spans="1:10" ht="26.4" customHeight="1" x14ac:dyDescent="0.3">
      <c r="A175" s="59">
        <v>45608</v>
      </c>
      <c r="B175" s="55" t="s">
        <v>120</v>
      </c>
      <c r="C175" s="65" t="s">
        <v>121</v>
      </c>
      <c r="D175" s="61" t="s">
        <v>68</v>
      </c>
      <c r="E175" s="61" t="s">
        <v>572</v>
      </c>
      <c r="F175" s="62">
        <v>0</v>
      </c>
      <c r="G175" s="62"/>
      <c r="H175" s="63" t="s">
        <v>745</v>
      </c>
      <c r="I175" s="62"/>
      <c r="J175" s="52" t="s">
        <v>744</v>
      </c>
    </row>
    <row r="176" spans="1:10" ht="26.4" customHeight="1" x14ac:dyDescent="0.3">
      <c r="A176" s="59">
        <v>45608</v>
      </c>
      <c r="B176" s="55" t="s">
        <v>120</v>
      </c>
      <c r="C176" s="65" t="s">
        <v>121</v>
      </c>
      <c r="D176" s="61" t="s">
        <v>68</v>
      </c>
      <c r="E176" s="61" t="s">
        <v>488</v>
      </c>
      <c r="F176" s="62">
        <v>12867.5</v>
      </c>
      <c r="G176" s="62"/>
      <c r="H176" s="52" t="s">
        <v>154</v>
      </c>
      <c r="I176" s="64" t="s">
        <v>747</v>
      </c>
      <c r="J176" s="63" t="s">
        <v>188</v>
      </c>
    </row>
    <row r="177" spans="1:10" ht="26.4" customHeight="1" x14ac:dyDescent="0.3">
      <c r="A177" s="59">
        <v>45608</v>
      </c>
      <c r="B177" s="55" t="s">
        <v>122</v>
      </c>
      <c r="C177" s="65" t="s">
        <v>121</v>
      </c>
      <c r="D177" s="61" t="s">
        <v>68</v>
      </c>
      <c r="E177" s="61" t="s">
        <v>491</v>
      </c>
      <c r="F177" s="62">
        <v>0</v>
      </c>
      <c r="G177" s="62"/>
      <c r="H177" s="63" t="s">
        <v>745</v>
      </c>
      <c r="I177" s="62"/>
      <c r="J177" s="52" t="s">
        <v>744</v>
      </c>
    </row>
    <row r="178" spans="1:10" ht="26.4" customHeight="1" x14ac:dyDescent="0.3">
      <c r="A178" s="59">
        <v>45608</v>
      </c>
      <c r="B178" s="55" t="s">
        <v>122</v>
      </c>
      <c r="C178" s="65" t="s">
        <v>121</v>
      </c>
      <c r="D178" s="61" t="s">
        <v>68</v>
      </c>
      <c r="E178" s="61" t="s">
        <v>488</v>
      </c>
      <c r="F178" s="62">
        <v>1732.5</v>
      </c>
      <c r="G178" s="62"/>
      <c r="H178" s="52" t="s">
        <v>154</v>
      </c>
      <c r="I178" s="64" t="s">
        <v>747</v>
      </c>
      <c r="J178" s="63" t="s">
        <v>188</v>
      </c>
    </row>
    <row r="179" spans="1:10" ht="26.4" customHeight="1" x14ac:dyDescent="0.3">
      <c r="A179" s="59">
        <v>45537</v>
      </c>
      <c r="B179" s="67" t="s">
        <v>74</v>
      </c>
      <c r="C179" s="65" t="s">
        <v>75</v>
      </c>
      <c r="D179" s="61" t="s">
        <v>149</v>
      </c>
      <c r="E179" s="61" t="s">
        <v>573</v>
      </c>
      <c r="F179" s="62">
        <v>0</v>
      </c>
      <c r="G179" s="62"/>
      <c r="H179" s="63" t="s">
        <v>745</v>
      </c>
      <c r="I179" s="62"/>
      <c r="J179" s="52" t="s">
        <v>744</v>
      </c>
    </row>
    <row r="180" spans="1:10" ht="26.4" customHeight="1" x14ac:dyDescent="0.3">
      <c r="A180" s="59">
        <v>45537</v>
      </c>
      <c r="B180" s="67" t="s">
        <v>74</v>
      </c>
      <c r="C180" s="65" t="s">
        <v>75</v>
      </c>
      <c r="D180" s="61" t="s">
        <v>149</v>
      </c>
      <c r="E180" s="61" t="s">
        <v>488</v>
      </c>
      <c r="F180" s="62">
        <v>2310</v>
      </c>
      <c r="G180" s="62"/>
      <c r="H180" s="52" t="s">
        <v>154</v>
      </c>
      <c r="I180" s="64" t="s">
        <v>747</v>
      </c>
      <c r="J180" s="63" t="s">
        <v>188</v>
      </c>
    </row>
    <row r="181" spans="1:10" ht="26.4" customHeight="1" x14ac:dyDescent="0.3">
      <c r="A181" s="59">
        <v>45677</v>
      </c>
      <c r="B181" s="55" t="s">
        <v>176</v>
      </c>
      <c r="C181" s="65" t="s">
        <v>177</v>
      </c>
      <c r="D181" s="61" t="s">
        <v>67</v>
      </c>
      <c r="E181" s="61" t="s">
        <v>574</v>
      </c>
      <c r="F181" s="62">
        <v>0</v>
      </c>
      <c r="G181" s="62"/>
      <c r="H181" s="63" t="s">
        <v>745</v>
      </c>
      <c r="I181" s="62"/>
      <c r="J181" s="52" t="s">
        <v>744</v>
      </c>
    </row>
    <row r="182" spans="1:10" ht="26.4" customHeight="1" x14ac:dyDescent="0.3">
      <c r="A182" s="59">
        <v>45677</v>
      </c>
      <c r="B182" s="55" t="s">
        <v>318</v>
      </c>
      <c r="C182" s="65" t="s">
        <v>177</v>
      </c>
      <c r="D182" s="61" t="s">
        <v>67</v>
      </c>
      <c r="E182" s="61" t="s">
        <v>575</v>
      </c>
      <c r="F182" s="62">
        <v>0</v>
      </c>
      <c r="G182" s="62"/>
      <c r="H182" s="63" t="s">
        <v>745</v>
      </c>
      <c r="I182" s="62"/>
      <c r="J182" s="52" t="s">
        <v>744</v>
      </c>
    </row>
    <row r="183" spans="1:10" ht="26.4" customHeight="1" x14ac:dyDescent="0.3">
      <c r="A183" s="59">
        <v>45677</v>
      </c>
      <c r="B183" s="55" t="s">
        <v>319</v>
      </c>
      <c r="C183" s="65" t="s">
        <v>177</v>
      </c>
      <c r="D183" s="61" t="s">
        <v>67</v>
      </c>
      <c r="E183" s="61" t="s">
        <v>488</v>
      </c>
      <c r="F183" s="62">
        <v>7500</v>
      </c>
      <c r="G183" s="62"/>
      <c r="H183" s="52" t="s">
        <v>154</v>
      </c>
      <c r="I183" s="64" t="s">
        <v>747</v>
      </c>
      <c r="J183" s="63" t="s">
        <v>188</v>
      </c>
    </row>
    <row r="184" spans="1:10" ht="26.4" customHeight="1" x14ac:dyDescent="0.3">
      <c r="A184" s="59">
        <v>45677</v>
      </c>
      <c r="C184" s="65" t="s">
        <v>177</v>
      </c>
      <c r="D184" s="61" t="s">
        <v>67</v>
      </c>
      <c r="E184" s="61" t="s">
        <v>488</v>
      </c>
      <c r="F184" s="62">
        <v>14</v>
      </c>
      <c r="G184" s="62"/>
      <c r="H184" s="52" t="s">
        <v>154</v>
      </c>
      <c r="I184" s="64" t="s">
        <v>747</v>
      </c>
      <c r="J184" s="63" t="s">
        <v>188</v>
      </c>
    </row>
    <row r="185" spans="1:10" ht="26.4" customHeight="1" x14ac:dyDescent="0.3">
      <c r="A185" s="59">
        <v>45709</v>
      </c>
      <c r="B185" s="55" t="s">
        <v>210</v>
      </c>
      <c r="C185" s="65" t="s">
        <v>177</v>
      </c>
      <c r="D185" s="61" t="s">
        <v>67</v>
      </c>
      <c r="E185" s="61" t="s">
        <v>576</v>
      </c>
      <c r="F185" s="62">
        <v>0</v>
      </c>
      <c r="G185" s="62"/>
      <c r="H185" s="63" t="s">
        <v>745</v>
      </c>
      <c r="I185" s="62"/>
      <c r="J185" s="52" t="s">
        <v>744</v>
      </c>
    </row>
    <row r="186" spans="1:10" ht="26.4" customHeight="1" x14ac:dyDescent="0.3">
      <c r="A186" s="59">
        <v>45709</v>
      </c>
      <c r="B186" s="55" t="s">
        <v>210</v>
      </c>
      <c r="C186" s="65" t="s">
        <v>177</v>
      </c>
      <c r="D186" s="61" t="s">
        <v>67</v>
      </c>
      <c r="E186" s="61" t="s">
        <v>488</v>
      </c>
      <c r="F186" s="62">
        <v>5100</v>
      </c>
      <c r="G186" s="62"/>
      <c r="H186" s="52" t="s">
        <v>154</v>
      </c>
      <c r="I186" s="64" t="s">
        <v>747</v>
      </c>
      <c r="J186" s="63" t="s">
        <v>188</v>
      </c>
    </row>
    <row r="187" spans="1:10" ht="26.4" customHeight="1" x14ac:dyDescent="0.3">
      <c r="A187" s="59">
        <v>45709</v>
      </c>
      <c r="B187" s="55" t="s">
        <v>210</v>
      </c>
      <c r="C187" s="65" t="s">
        <v>177</v>
      </c>
      <c r="D187" s="61" t="s">
        <v>67</v>
      </c>
      <c r="E187" s="61" t="s">
        <v>488</v>
      </c>
      <c r="F187" s="62">
        <v>55</v>
      </c>
      <c r="G187" s="62"/>
      <c r="H187" s="52" t="s">
        <v>154</v>
      </c>
      <c r="I187" s="64" t="s">
        <v>747</v>
      </c>
      <c r="J187" s="63" t="s">
        <v>188</v>
      </c>
    </row>
    <row r="188" spans="1:10" ht="26.4" customHeight="1" x14ac:dyDescent="0.3">
      <c r="A188" s="59">
        <v>45684</v>
      </c>
      <c r="B188" s="70" t="s">
        <v>194</v>
      </c>
      <c r="C188" s="65" t="s">
        <v>195</v>
      </c>
      <c r="D188" s="61" t="s">
        <v>67</v>
      </c>
      <c r="E188" s="61" t="s">
        <v>577</v>
      </c>
      <c r="F188" s="62">
        <v>0</v>
      </c>
      <c r="G188" s="62"/>
      <c r="H188" s="63" t="s">
        <v>745</v>
      </c>
      <c r="I188" s="62"/>
      <c r="J188" s="52" t="s">
        <v>744</v>
      </c>
    </row>
    <row r="189" spans="1:10" ht="26.4" customHeight="1" x14ac:dyDescent="0.3">
      <c r="A189" s="59">
        <v>45684</v>
      </c>
      <c r="B189" s="55" t="s">
        <v>196</v>
      </c>
      <c r="C189" s="65" t="s">
        <v>195</v>
      </c>
      <c r="D189" s="61" t="s">
        <v>67</v>
      </c>
      <c r="E189" s="61" t="s">
        <v>574</v>
      </c>
      <c r="F189" s="62">
        <v>0</v>
      </c>
      <c r="G189" s="62"/>
      <c r="H189" s="63" t="s">
        <v>745</v>
      </c>
      <c r="I189" s="62"/>
      <c r="J189" s="52" t="s">
        <v>744</v>
      </c>
    </row>
    <row r="190" spans="1:10" ht="26.4" customHeight="1" x14ac:dyDescent="0.3">
      <c r="A190" s="59">
        <v>45687</v>
      </c>
      <c r="C190" s="65" t="s">
        <v>195</v>
      </c>
      <c r="D190" s="61" t="s">
        <v>67</v>
      </c>
      <c r="E190" s="61" t="s">
        <v>488</v>
      </c>
      <c r="F190" s="62">
        <v>16667.5</v>
      </c>
      <c r="G190" s="62"/>
      <c r="H190" s="52" t="s">
        <v>154</v>
      </c>
      <c r="I190" s="64" t="s">
        <v>747</v>
      </c>
      <c r="J190" s="63" t="s">
        <v>188</v>
      </c>
    </row>
    <row r="191" spans="1:10" ht="26.4" customHeight="1" x14ac:dyDescent="0.3">
      <c r="A191" s="59">
        <v>45707</v>
      </c>
      <c r="B191" s="55" t="s">
        <v>209</v>
      </c>
      <c r="C191" s="65" t="s">
        <v>195</v>
      </c>
      <c r="D191" s="61" t="s">
        <v>67</v>
      </c>
      <c r="E191" s="61" t="s">
        <v>578</v>
      </c>
      <c r="F191" s="62">
        <v>0</v>
      </c>
      <c r="G191" s="62"/>
      <c r="H191" s="63" t="s">
        <v>745</v>
      </c>
      <c r="I191" s="62"/>
      <c r="J191" s="52" t="s">
        <v>744</v>
      </c>
    </row>
    <row r="192" spans="1:10" ht="26.4" customHeight="1" x14ac:dyDescent="0.3">
      <c r="A192" s="59">
        <v>45436</v>
      </c>
      <c r="B192" s="68" t="s">
        <v>22</v>
      </c>
      <c r="C192" s="60" t="s">
        <v>23</v>
      </c>
      <c r="D192" s="61" t="s">
        <v>15</v>
      </c>
      <c r="E192" s="61" t="s">
        <v>573</v>
      </c>
      <c r="F192" s="62">
        <v>0</v>
      </c>
      <c r="G192" s="62"/>
      <c r="H192" s="63" t="s">
        <v>745</v>
      </c>
      <c r="I192" s="62"/>
      <c r="J192" s="52" t="s">
        <v>744</v>
      </c>
    </row>
    <row r="193" spans="1:10" ht="26.4" customHeight="1" x14ac:dyDescent="0.3">
      <c r="A193" s="59">
        <v>45436</v>
      </c>
      <c r="B193" s="68" t="s">
        <v>22</v>
      </c>
      <c r="C193" s="60" t="s">
        <v>23</v>
      </c>
      <c r="D193" s="61" t="s">
        <v>68</v>
      </c>
      <c r="E193" s="61" t="s">
        <v>488</v>
      </c>
      <c r="F193" s="62">
        <v>2310</v>
      </c>
      <c r="G193" s="62"/>
      <c r="H193" s="52" t="s">
        <v>154</v>
      </c>
      <c r="I193" s="64" t="s">
        <v>747</v>
      </c>
      <c r="J193" s="63" t="s">
        <v>188</v>
      </c>
    </row>
    <row r="194" spans="1:10" ht="26.4" customHeight="1" x14ac:dyDescent="0.3">
      <c r="A194" s="75">
        <v>45464</v>
      </c>
      <c r="B194" s="68" t="s">
        <v>31</v>
      </c>
      <c r="C194" s="60" t="s">
        <v>32</v>
      </c>
      <c r="D194" s="61" t="s">
        <v>7</v>
      </c>
      <c r="E194" s="61" t="s">
        <v>579</v>
      </c>
      <c r="F194" s="62">
        <v>0</v>
      </c>
      <c r="G194" s="62"/>
      <c r="H194" s="63" t="s">
        <v>745</v>
      </c>
      <c r="I194" s="62"/>
      <c r="J194" s="52" t="s">
        <v>744</v>
      </c>
    </row>
    <row r="195" spans="1:10" ht="26.4" customHeight="1" x14ac:dyDescent="0.3">
      <c r="A195" s="75">
        <v>45464</v>
      </c>
      <c r="B195" s="68" t="s">
        <v>31</v>
      </c>
      <c r="C195" s="60" t="s">
        <v>32</v>
      </c>
      <c r="D195" s="61" t="s">
        <v>7</v>
      </c>
      <c r="E195" s="61" t="s">
        <v>488</v>
      </c>
      <c r="F195" s="62">
        <v>1541</v>
      </c>
      <c r="G195" s="62"/>
      <c r="H195" s="52" t="s">
        <v>154</v>
      </c>
      <c r="I195" s="64" t="s">
        <v>747</v>
      </c>
      <c r="J195" s="63" t="s">
        <v>188</v>
      </c>
    </row>
    <row r="196" spans="1:10" ht="26.4" customHeight="1" x14ac:dyDescent="0.3">
      <c r="A196" s="59">
        <v>45612</v>
      </c>
      <c r="B196" s="55" t="s">
        <v>125</v>
      </c>
      <c r="C196" s="65" t="s">
        <v>32</v>
      </c>
      <c r="D196" s="61" t="s">
        <v>67</v>
      </c>
      <c r="E196" s="61" t="s">
        <v>580</v>
      </c>
      <c r="F196" s="62">
        <v>0</v>
      </c>
      <c r="G196" s="62"/>
      <c r="H196" s="63" t="s">
        <v>745</v>
      </c>
      <c r="I196" s="62"/>
      <c r="J196" s="52" t="s">
        <v>744</v>
      </c>
    </row>
    <row r="197" spans="1:10" ht="26.4" customHeight="1" x14ac:dyDescent="0.3">
      <c r="A197" s="59">
        <v>45615</v>
      </c>
      <c r="B197" s="55" t="s">
        <v>125</v>
      </c>
      <c r="C197" s="65" t="s">
        <v>32</v>
      </c>
      <c r="D197" s="61" t="s">
        <v>67</v>
      </c>
      <c r="E197" s="61" t="s">
        <v>488</v>
      </c>
      <c r="F197" s="62">
        <v>378</v>
      </c>
      <c r="G197" s="62"/>
      <c r="H197" s="52" t="s">
        <v>154</v>
      </c>
      <c r="I197" s="64" t="s">
        <v>747</v>
      </c>
      <c r="J197" s="63" t="s">
        <v>188</v>
      </c>
    </row>
    <row r="198" spans="1:10" ht="26.4" customHeight="1" x14ac:dyDescent="0.3">
      <c r="A198" s="59">
        <v>45436</v>
      </c>
      <c r="B198" s="55" t="s">
        <v>266</v>
      </c>
      <c r="C198" s="65" t="s">
        <v>18</v>
      </c>
      <c r="D198" s="61" t="s">
        <v>68</v>
      </c>
      <c r="E198" s="61" t="s">
        <v>581</v>
      </c>
      <c r="F198" s="62">
        <v>0</v>
      </c>
      <c r="G198" s="62"/>
      <c r="H198" s="63" t="s">
        <v>745</v>
      </c>
      <c r="I198" s="62"/>
      <c r="J198" s="52" t="s">
        <v>744</v>
      </c>
    </row>
    <row r="199" spans="1:10" ht="26.4" customHeight="1" x14ac:dyDescent="0.3">
      <c r="A199" s="59">
        <v>45436</v>
      </c>
      <c r="B199" s="67" t="s">
        <v>70</v>
      </c>
      <c r="C199" s="65" t="s">
        <v>18</v>
      </c>
      <c r="D199" s="61" t="s">
        <v>68</v>
      </c>
      <c r="E199" s="61" t="s">
        <v>488</v>
      </c>
      <c r="F199" s="62">
        <v>1650</v>
      </c>
      <c r="G199" s="62"/>
      <c r="H199" s="52" t="s">
        <v>154</v>
      </c>
      <c r="I199" s="64" t="s">
        <v>747</v>
      </c>
      <c r="J199" s="63" t="s">
        <v>188</v>
      </c>
    </row>
    <row r="200" spans="1:10" ht="26.4" customHeight="1" x14ac:dyDescent="0.3">
      <c r="A200" s="59">
        <v>45492</v>
      </c>
      <c r="B200" s="67" t="s">
        <v>71</v>
      </c>
      <c r="C200" s="65" t="s">
        <v>18</v>
      </c>
      <c r="D200" s="61" t="s">
        <v>68</v>
      </c>
      <c r="E200" s="61" t="s">
        <v>582</v>
      </c>
      <c r="F200" s="62">
        <v>0</v>
      </c>
      <c r="G200" s="62"/>
      <c r="H200" s="63" t="s">
        <v>745</v>
      </c>
      <c r="I200" s="62"/>
      <c r="J200" s="52" t="s">
        <v>744</v>
      </c>
    </row>
    <row r="201" spans="1:10" ht="26.4" customHeight="1" x14ac:dyDescent="0.3">
      <c r="A201" s="59">
        <v>45492</v>
      </c>
      <c r="B201" s="67" t="s">
        <v>71</v>
      </c>
      <c r="C201" s="65" t="s">
        <v>18</v>
      </c>
      <c r="D201" s="61" t="s">
        <v>68</v>
      </c>
      <c r="E201" s="61" t="s">
        <v>488</v>
      </c>
      <c r="F201" s="62">
        <v>5000</v>
      </c>
      <c r="G201" s="62"/>
      <c r="H201" s="52" t="s">
        <v>154</v>
      </c>
      <c r="I201" s="64" t="s">
        <v>747</v>
      </c>
      <c r="J201" s="63" t="s">
        <v>188</v>
      </c>
    </row>
    <row r="202" spans="1:10" ht="26.4" customHeight="1" x14ac:dyDescent="0.3">
      <c r="A202" s="59">
        <v>45495</v>
      </c>
      <c r="B202" s="67" t="s">
        <v>69</v>
      </c>
      <c r="C202" s="65" t="s">
        <v>18</v>
      </c>
      <c r="D202" s="61" t="s">
        <v>68</v>
      </c>
      <c r="E202" s="61" t="s">
        <v>583</v>
      </c>
      <c r="F202" s="62">
        <v>0</v>
      </c>
      <c r="G202" s="62"/>
      <c r="H202" s="63" t="s">
        <v>745</v>
      </c>
      <c r="I202" s="62"/>
      <c r="J202" s="52" t="s">
        <v>744</v>
      </c>
    </row>
    <row r="203" spans="1:10" ht="26.4" customHeight="1" x14ac:dyDescent="0.3">
      <c r="A203" s="59">
        <v>45495</v>
      </c>
      <c r="B203" s="67" t="s">
        <v>69</v>
      </c>
      <c r="C203" s="65" t="s">
        <v>18</v>
      </c>
      <c r="D203" s="61" t="s">
        <v>68</v>
      </c>
      <c r="E203" s="61" t="s">
        <v>488</v>
      </c>
      <c r="F203" s="62">
        <v>2700</v>
      </c>
      <c r="G203" s="62"/>
      <c r="H203" s="52" t="s">
        <v>154</v>
      </c>
      <c r="I203" s="64" t="s">
        <v>747</v>
      </c>
      <c r="J203" s="63" t="s">
        <v>188</v>
      </c>
    </row>
    <row r="204" spans="1:10" ht="26.4" customHeight="1" x14ac:dyDescent="0.3">
      <c r="A204" s="59">
        <v>45684</v>
      </c>
      <c r="B204" s="70" t="s">
        <v>189</v>
      </c>
      <c r="C204" s="65" t="s">
        <v>190</v>
      </c>
      <c r="D204" s="61" t="s">
        <v>68</v>
      </c>
      <c r="E204" s="61" t="s">
        <v>564</v>
      </c>
      <c r="F204" s="62">
        <v>0</v>
      </c>
      <c r="G204" s="62"/>
      <c r="H204" s="63" t="s">
        <v>745</v>
      </c>
      <c r="I204" s="62"/>
      <c r="J204" s="52" t="s">
        <v>744</v>
      </c>
    </row>
    <row r="205" spans="1:10" ht="26.4" customHeight="1" x14ac:dyDescent="0.3">
      <c r="A205" s="59">
        <v>45684</v>
      </c>
      <c r="B205" s="70" t="s">
        <v>197</v>
      </c>
      <c r="C205" s="65" t="s">
        <v>190</v>
      </c>
      <c r="D205" s="61" t="s">
        <v>68</v>
      </c>
      <c r="E205" s="61" t="s">
        <v>584</v>
      </c>
      <c r="F205" s="62">
        <v>0</v>
      </c>
      <c r="G205" s="62"/>
      <c r="H205" s="63" t="s">
        <v>745</v>
      </c>
      <c r="I205" s="62"/>
      <c r="J205" s="52" t="s">
        <v>744</v>
      </c>
    </row>
    <row r="206" spans="1:10" ht="26.4" customHeight="1" x14ac:dyDescent="0.3">
      <c r="A206" s="59">
        <v>45685</v>
      </c>
      <c r="C206" s="65" t="s">
        <v>190</v>
      </c>
      <c r="D206" s="61" t="s">
        <v>68</v>
      </c>
      <c r="E206" s="61" t="s">
        <v>488</v>
      </c>
      <c r="F206" s="62">
        <v>17973.75</v>
      </c>
      <c r="G206" s="62"/>
      <c r="H206" s="52" t="s">
        <v>154</v>
      </c>
      <c r="I206" s="64" t="s">
        <v>747</v>
      </c>
      <c r="J206" s="63" t="s">
        <v>188</v>
      </c>
    </row>
    <row r="207" spans="1:10" ht="26.4" customHeight="1" x14ac:dyDescent="0.3">
      <c r="A207" s="59">
        <v>45479</v>
      </c>
      <c r="B207" s="67" t="s">
        <v>45</v>
      </c>
      <c r="C207" s="65" t="s">
        <v>44</v>
      </c>
      <c r="D207" s="61" t="s">
        <v>147</v>
      </c>
      <c r="E207" s="61" t="s">
        <v>585</v>
      </c>
      <c r="F207" s="62">
        <v>0</v>
      </c>
      <c r="G207" s="62"/>
      <c r="H207" s="63" t="s">
        <v>745</v>
      </c>
      <c r="I207" s="62"/>
      <c r="J207" s="52" t="s">
        <v>744</v>
      </c>
    </row>
    <row r="208" spans="1:10" ht="26.4" customHeight="1" x14ac:dyDescent="0.3">
      <c r="A208" s="76">
        <v>45497</v>
      </c>
      <c r="B208" s="69" t="s">
        <v>43</v>
      </c>
      <c r="C208" s="65" t="s">
        <v>44</v>
      </c>
      <c r="D208" s="61" t="s">
        <v>147</v>
      </c>
      <c r="E208" s="61" t="s">
        <v>586</v>
      </c>
      <c r="F208" s="62">
        <v>0</v>
      </c>
      <c r="G208" s="62"/>
      <c r="H208" s="63" t="s">
        <v>745</v>
      </c>
      <c r="I208" s="62"/>
      <c r="J208" s="52" t="s">
        <v>744</v>
      </c>
    </row>
    <row r="209" spans="1:10" ht="26.4" customHeight="1" x14ac:dyDescent="0.3">
      <c r="A209" s="59">
        <v>45586</v>
      </c>
      <c r="B209" s="67" t="s">
        <v>102</v>
      </c>
      <c r="C209" s="65" t="s">
        <v>44</v>
      </c>
      <c r="D209" s="61" t="s">
        <v>147</v>
      </c>
      <c r="E209" s="61" t="s">
        <v>587</v>
      </c>
      <c r="F209" s="62">
        <v>0</v>
      </c>
      <c r="G209" s="62"/>
      <c r="H209" s="63" t="s">
        <v>745</v>
      </c>
      <c r="I209" s="62"/>
      <c r="J209" s="52" t="s">
        <v>744</v>
      </c>
    </row>
    <row r="210" spans="1:10" ht="26.4" customHeight="1" x14ac:dyDescent="0.3">
      <c r="A210" s="59">
        <v>45586</v>
      </c>
      <c r="B210" s="67" t="s">
        <v>103</v>
      </c>
      <c r="C210" s="65" t="s">
        <v>44</v>
      </c>
      <c r="D210" s="61" t="s">
        <v>147</v>
      </c>
      <c r="E210" s="61" t="s">
        <v>588</v>
      </c>
      <c r="F210" s="62">
        <v>0</v>
      </c>
      <c r="G210" s="62"/>
      <c r="H210" s="63" t="s">
        <v>745</v>
      </c>
      <c r="I210" s="62"/>
      <c r="J210" s="52" t="s">
        <v>744</v>
      </c>
    </row>
    <row r="211" spans="1:10" ht="26.4" customHeight="1" x14ac:dyDescent="0.3">
      <c r="A211" s="59">
        <v>45616</v>
      </c>
      <c r="B211" s="70" t="s">
        <v>132</v>
      </c>
      <c r="C211" s="65" t="s">
        <v>44</v>
      </c>
      <c r="D211" s="61" t="s">
        <v>147</v>
      </c>
      <c r="E211" s="61" t="s">
        <v>589</v>
      </c>
      <c r="F211" s="62">
        <v>0</v>
      </c>
      <c r="G211" s="62"/>
      <c r="H211" s="63" t="s">
        <v>745</v>
      </c>
      <c r="I211" s="62"/>
      <c r="J211" s="52" t="s">
        <v>744</v>
      </c>
    </row>
    <row r="212" spans="1:10" ht="26.4" customHeight="1" x14ac:dyDescent="0.3">
      <c r="A212" s="59">
        <v>45630</v>
      </c>
      <c r="B212" s="70" t="s">
        <v>136</v>
      </c>
      <c r="C212" s="65" t="s">
        <v>44</v>
      </c>
      <c r="D212" s="61" t="s">
        <v>147</v>
      </c>
      <c r="E212" s="61" t="s">
        <v>590</v>
      </c>
      <c r="F212" s="62">
        <v>0</v>
      </c>
      <c r="G212" s="62"/>
      <c r="H212" s="63" t="s">
        <v>745</v>
      </c>
      <c r="I212" s="62"/>
      <c r="J212" s="52" t="s">
        <v>744</v>
      </c>
    </row>
    <row r="213" spans="1:10" ht="26.4" customHeight="1" x14ac:dyDescent="0.3">
      <c r="A213" s="59">
        <v>45630</v>
      </c>
      <c r="B213" s="70" t="s">
        <v>138</v>
      </c>
      <c r="C213" s="65" t="s">
        <v>44</v>
      </c>
      <c r="D213" s="61" t="s">
        <v>147</v>
      </c>
      <c r="E213" s="61" t="s">
        <v>591</v>
      </c>
      <c r="F213" s="62">
        <v>0</v>
      </c>
      <c r="G213" s="62"/>
      <c r="H213" s="63" t="s">
        <v>745</v>
      </c>
      <c r="I213" s="62"/>
      <c r="J213" s="52" t="s">
        <v>744</v>
      </c>
    </row>
    <row r="214" spans="1:10" ht="26.4" customHeight="1" x14ac:dyDescent="0.3">
      <c r="A214" s="59">
        <v>45650</v>
      </c>
      <c r="B214" s="70" t="s">
        <v>159</v>
      </c>
      <c r="C214" s="65" t="s">
        <v>44</v>
      </c>
      <c r="D214" s="61" t="s">
        <v>147</v>
      </c>
      <c r="E214" s="61" t="s">
        <v>592</v>
      </c>
      <c r="F214" s="62">
        <v>0</v>
      </c>
      <c r="G214" s="62"/>
      <c r="H214" s="63" t="s">
        <v>745</v>
      </c>
      <c r="I214" s="62"/>
      <c r="J214" s="52" t="s">
        <v>744</v>
      </c>
    </row>
    <row r="215" spans="1:10" ht="26.4" customHeight="1" x14ac:dyDescent="0.3">
      <c r="A215" s="59">
        <v>45658</v>
      </c>
      <c r="B215" s="70" t="s">
        <v>203</v>
      </c>
      <c r="C215" s="65" t="s">
        <v>44</v>
      </c>
      <c r="D215" s="61" t="s">
        <v>67</v>
      </c>
      <c r="E215" s="61" t="s">
        <v>593</v>
      </c>
      <c r="F215" s="62">
        <v>0</v>
      </c>
      <c r="G215" s="62"/>
      <c r="H215" s="63" t="s">
        <v>745</v>
      </c>
      <c r="I215" s="62"/>
      <c r="J215" s="52" t="s">
        <v>744</v>
      </c>
    </row>
    <row r="216" spans="1:10" ht="26.4" customHeight="1" x14ac:dyDescent="0.3">
      <c r="A216" s="59">
        <v>45658</v>
      </c>
      <c r="B216" s="70" t="s">
        <v>204</v>
      </c>
      <c r="C216" s="65" t="s">
        <v>44</v>
      </c>
      <c r="D216" s="61" t="s">
        <v>67</v>
      </c>
      <c r="E216" s="61" t="s">
        <v>594</v>
      </c>
      <c r="F216" s="62">
        <v>0</v>
      </c>
      <c r="G216" s="62"/>
      <c r="H216" s="63" t="s">
        <v>745</v>
      </c>
      <c r="I216" s="62"/>
      <c r="J216" s="52" t="s">
        <v>744</v>
      </c>
    </row>
    <row r="217" spans="1:10" ht="26.4" customHeight="1" x14ac:dyDescent="0.3">
      <c r="A217" s="59">
        <v>45658</v>
      </c>
      <c r="B217" s="70" t="s">
        <v>205</v>
      </c>
      <c r="C217" s="65" t="s">
        <v>44</v>
      </c>
      <c r="D217" s="61" t="s">
        <v>67</v>
      </c>
      <c r="E217" s="61" t="s">
        <v>595</v>
      </c>
      <c r="F217" s="62">
        <v>0</v>
      </c>
      <c r="G217" s="62"/>
      <c r="H217" s="63" t="s">
        <v>745</v>
      </c>
      <c r="I217" s="62"/>
      <c r="J217" s="52" t="s">
        <v>744</v>
      </c>
    </row>
    <row r="218" spans="1:10" ht="26.4" customHeight="1" x14ac:dyDescent="0.3">
      <c r="A218" s="59">
        <v>45663</v>
      </c>
      <c r="B218" s="70" t="s">
        <v>167</v>
      </c>
      <c r="C218" s="65" t="s">
        <v>44</v>
      </c>
      <c r="D218" s="61" t="s">
        <v>147</v>
      </c>
      <c r="E218" s="61" t="s">
        <v>596</v>
      </c>
      <c r="F218" s="62">
        <v>0</v>
      </c>
      <c r="G218" s="62"/>
      <c r="H218" s="63" t="s">
        <v>745</v>
      </c>
      <c r="I218" s="62"/>
      <c r="J218" s="52" t="s">
        <v>744</v>
      </c>
    </row>
    <row r="219" spans="1:10" ht="26.4" customHeight="1" x14ac:dyDescent="0.3">
      <c r="A219" s="59">
        <v>45688</v>
      </c>
      <c r="B219" s="70"/>
      <c r="C219" s="65" t="s">
        <v>44</v>
      </c>
      <c r="D219" s="61" t="s">
        <v>67</v>
      </c>
      <c r="E219" s="61" t="s">
        <v>488</v>
      </c>
      <c r="F219" s="62">
        <v>130908.9</v>
      </c>
      <c r="G219" s="62"/>
      <c r="H219" s="52" t="s">
        <v>154</v>
      </c>
      <c r="I219" s="64" t="s">
        <v>747</v>
      </c>
      <c r="J219" s="63" t="s">
        <v>188</v>
      </c>
    </row>
    <row r="220" spans="1:10" ht="26.4" customHeight="1" x14ac:dyDescent="0.3">
      <c r="A220" s="59">
        <v>45708</v>
      </c>
      <c r="C220" s="65" t="s">
        <v>44</v>
      </c>
      <c r="D220" s="61" t="s">
        <v>67</v>
      </c>
      <c r="E220" s="61" t="s">
        <v>488</v>
      </c>
      <c r="F220" s="62">
        <v>87175</v>
      </c>
      <c r="G220" s="62"/>
      <c r="H220" s="52" t="s">
        <v>154</v>
      </c>
      <c r="I220" s="64" t="s">
        <v>747</v>
      </c>
      <c r="J220" s="63" t="s">
        <v>188</v>
      </c>
    </row>
    <row r="221" spans="1:10" ht="26.4" customHeight="1" x14ac:dyDescent="0.3">
      <c r="A221" s="59">
        <v>45721</v>
      </c>
      <c r="B221" s="55" t="s">
        <v>222</v>
      </c>
      <c r="C221" s="65" t="s">
        <v>44</v>
      </c>
      <c r="D221" s="61" t="s">
        <v>67</v>
      </c>
      <c r="E221" s="61" t="s">
        <v>597</v>
      </c>
      <c r="F221" s="62">
        <v>0</v>
      </c>
      <c r="G221" s="62"/>
      <c r="H221" s="63" t="s">
        <v>745</v>
      </c>
      <c r="I221" s="62"/>
      <c r="J221" s="52" t="s">
        <v>744</v>
      </c>
    </row>
    <row r="222" spans="1:10" ht="26.4" customHeight="1" x14ac:dyDescent="0.3">
      <c r="A222" s="59">
        <v>45740</v>
      </c>
      <c r="B222" s="55" t="s">
        <v>231</v>
      </c>
      <c r="C222" s="65" t="s">
        <v>44</v>
      </c>
      <c r="D222" s="61" t="s">
        <v>67</v>
      </c>
      <c r="E222" s="61" t="s">
        <v>598</v>
      </c>
      <c r="F222" s="62">
        <v>0</v>
      </c>
      <c r="G222" s="62"/>
      <c r="H222" s="63" t="s">
        <v>745</v>
      </c>
      <c r="I222" s="62"/>
      <c r="J222" s="52" t="s">
        <v>744</v>
      </c>
    </row>
    <row r="223" spans="1:10" ht="26.4" customHeight="1" x14ac:dyDescent="0.3">
      <c r="A223" s="59">
        <v>45699</v>
      </c>
      <c r="B223" s="55" t="s">
        <v>249</v>
      </c>
      <c r="C223" s="65" t="s">
        <v>44</v>
      </c>
      <c r="D223" s="61" t="s">
        <v>67</v>
      </c>
      <c r="E223" s="61" t="s">
        <v>599</v>
      </c>
      <c r="F223" s="62">
        <v>0</v>
      </c>
      <c r="G223" s="62"/>
      <c r="H223" s="63" t="s">
        <v>745</v>
      </c>
      <c r="I223" s="62"/>
      <c r="J223" s="52" t="s">
        <v>744</v>
      </c>
    </row>
    <row r="224" spans="1:10" ht="26.4" customHeight="1" x14ac:dyDescent="0.3">
      <c r="A224" s="59">
        <v>45525</v>
      </c>
      <c r="B224" s="67" t="s">
        <v>47</v>
      </c>
      <c r="C224" s="65" t="s">
        <v>48</v>
      </c>
      <c r="D224" s="61" t="s">
        <v>7</v>
      </c>
      <c r="E224" s="61" t="s">
        <v>600</v>
      </c>
      <c r="F224" s="62">
        <v>0</v>
      </c>
      <c r="G224" s="62"/>
      <c r="H224" s="63" t="s">
        <v>745</v>
      </c>
      <c r="I224" s="62"/>
      <c r="J224" s="52" t="s">
        <v>744</v>
      </c>
    </row>
    <row r="225" spans="1:10" ht="26.4" customHeight="1" x14ac:dyDescent="0.3">
      <c r="A225" s="59">
        <v>45524</v>
      </c>
      <c r="B225" s="67"/>
      <c r="C225" s="65" t="s">
        <v>48</v>
      </c>
      <c r="D225" s="61" t="s">
        <v>67</v>
      </c>
      <c r="E225" s="61" t="s">
        <v>488</v>
      </c>
      <c r="F225" s="62">
        <v>14490</v>
      </c>
      <c r="G225" s="62"/>
      <c r="H225" s="52" t="s">
        <v>154</v>
      </c>
      <c r="I225" s="64" t="s">
        <v>747</v>
      </c>
      <c r="J225" s="63" t="s">
        <v>188</v>
      </c>
    </row>
    <row r="226" spans="1:10" ht="26.4" customHeight="1" x14ac:dyDescent="0.3">
      <c r="A226" s="59">
        <v>45525</v>
      </c>
      <c r="B226" s="67" t="s">
        <v>49</v>
      </c>
      <c r="C226" s="65" t="s">
        <v>48</v>
      </c>
      <c r="D226" s="61" t="s">
        <v>7</v>
      </c>
      <c r="E226" s="61" t="s">
        <v>499</v>
      </c>
      <c r="F226" s="62">
        <v>1575</v>
      </c>
      <c r="G226" s="62"/>
      <c r="H226" s="77"/>
      <c r="I226" s="62"/>
      <c r="J226" s="52"/>
    </row>
    <row r="227" spans="1:10" ht="26.4" customHeight="1" x14ac:dyDescent="0.3">
      <c r="A227" s="59">
        <v>45695</v>
      </c>
      <c r="B227" s="55" t="s">
        <v>208</v>
      </c>
      <c r="C227" s="65" t="s">
        <v>48</v>
      </c>
      <c r="D227" s="61" t="s">
        <v>67</v>
      </c>
      <c r="E227" s="61" t="s">
        <v>601</v>
      </c>
      <c r="F227" s="62">
        <v>0</v>
      </c>
      <c r="G227" s="62"/>
      <c r="H227" s="63" t="s">
        <v>745</v>
      </c>
      <c r="I227" s="62"/>
      <c r="J227" s="52" t="s">
        <v>744</v>
      </c>
    </row>
    <row r="228" spans="1:10" ht="26.4" customHeight="1" x14ac:dyDescent="0.3">
      <c r="A228" s="59">
        <v>45697</v>
      </c>
      <c r="B228" s="70" t="s">
        <v>237</v>
      </c>
      <c r="C228" s="65" t="s">
        <v>207</v>
      </c>
      <c r="D228" s="61" t="s">
        <v>68</v>
      </c>
      <c r="E228" s="61" t="s">
        <v>602</v>
      </c>
      <c r="F228" s="62">
        <v>0</v>
      </c>
      <c r="G228" s="62"/>
      <c r="H228" s="63" t="s">
        <v>745</v>
      </c>
      <c r="I228" s="62"/>
      <c r="J228" s="52" t="s">
        <v>744</v>
      </c>
    </row>
    <row r="229" spans="1:10" ht="26.4" customHeight="1" x14ac:dyDescent="0.3">
      <c r="A229" s="59">
        <v>45699</v>
      </c>
      <c r="B229" s="70" t="s">
        <v>236</v>
      </c>
      <c r="C229" s="65" t="s">
        <v>207</v>
      </c>
      <c r="D229" s="61" t="s">
        <v>68</v>
      </c>
      <c r="E229" s="61" t="s">
        <v>544</v>
      </c>
      <c r="F229" s="62">
        <v>0</v>
      </c>
      <c r="G229" s="62"/>
      <c r="H229" s="63" t="s">
        <v>745</v>
      </c>
      <c r="I229" s="62"/>
      <c r="J229" s="52" t="s">
        <v>744</v>
      </c>
    </row>
    <row r="230" spans="1:10" ht="26.4" customHeight="1" x14ac:dyDescent="0.3">
      <c r="A230" s="59">
        <v>45697</v>
      </c>
      <c r="B230" s="70" t="s">
        <v>236</v>
      </c>
      <c r="C230" s="65" t="s">
        <v>207</v>
      </c>
      <c r="D230" s="61" t="s">
        <v>68</v>
      </c>
      <c r="E230" s="61" t="s">
        <v>488</v>
      </c>
      <c r="F230" s="62">
        <v>3000</v>
      </c>
      <c r="G230" s="62"/>
      <c r="H230" s="52" t="s">
        <v>154</v>
      </c>
      <c r="I230" s="64" t="s">
        <v>747</v>
      </c>
      <c r="J230" s="63" t="s">
        <v>188</v>
      </c>
    </row>
    <row r="231" spans="1:10" ht="26.4" customHeight="1" x14ac:dyDescent="0.3">
      <c r="A231" s="59">
        <v>45408</v>
      </c>
      <c r="B231" s="69" t="s">
        <v>46</v>
      </c>
      <c r="C231" s="60" t="s">
        <v>12</v>
      </c>
      <c r="D231" s="61" t="s">
        <v>7</v>
      </c>
      <c r="E231" s="61" t="s">
        <v>603</v>
      </c>
      <c r="F231" s="62">
        <v>0</v>
      </c>
      <c r="G231" s="62"/>
      <c r="H231" s="63" t="s">
        <v>745</v>
      </c>
      <c r="I231" s="62"/>
      <c r="J231" s="52" t="s">
        <v>744</v>
      </c>
    </row>
    <row r="232" spans="1:10" ht="26.4" customHeight="1" x14ac:dyDescent="0.3">
      <c r="A232" s="59">
        <v>45408</v>
      </c>
      <c r="B232" s="69" t="s">
        <v>46</v>
      </c>
      <c r="C232" s="65" t="s">
        <v>12</v>
      </c>
      <c r="D232" s="61" t="s">
        <v>67</v>
      </c>
      <c r="E232" s="61" t="s">
        <v>488</v>
      </c>
      <c r="F232" s="62">
        <v>1627</v>
      </c>
      <c r="G232" s="62"/>
      <c r="H232" s="52" t="s">
        <v>154</v>
      </c>
      <c r="I232" s="64" t="s">
        <v>747</v>
      </c>
      <c r="J232" s="63" t="s">
        <v>188</v>
      </c>
    </row>
    <row r="233" spans="1:10" ht="26.4" customHeight="1" x14ac:dyDescent="0.3">
      <c r="A233" s="59">
        <v>45433</v>
      </c>
      <c r="B233" s="68" t="s">
        <v>13</v>
      </c>
      <c r="C233" s="60" t="s">
        <v>12</v>
      </c>
      <c r="D233" s="61" t="s">
        <v>7</v>
      </c>
      <c r="E233" s="61" t="s">
        <v>553</v>
      </c>
      <c r="F233" s="62">
        <v>0</v>
      </c>
      <c r="G233" s="62"/>
      <c r="H233" s="63" t="s">
        <v>745</v>
      </c>
      <c r="I233" s="62"/>
      <c r="J233" s="52" t="s">
        <v>744</v>
      </c>
    </row>
    <row r="234" spans="1:10" ht="26.4" customHeight="1" x14ac:dyDescent="0.3">
      <c r="A234" s="59">
        <v>45433</v>
      </c>
      <c r="B234" s="68" t="s">
        <v>13</v>
      </c>
      <c r="C234" s="65" t="s">
        <v>12</v>
      </c>
      <c r="D234" s="61" t="s">
        <v>67</v>
      </c>
      <c r="E234" s="61" t="s">
        <v>488</v>
      </c>
      <c r="F234" s="62">
        <v>945</v>
      </c>
      <c r="G234" s="62"/>
      <c r="H234" s="52" t="s">
        <v>154</v>
      </c>
      <c r="I234" s="64" t="s">
        <v>747</v>
      </c>
      <c r="J234" s="63" t="s">
        <v>188</v>
      </c>
    </row>
    <row r="235" spans="1:10" ht="26.4" customHeight="1" x14ac:dyDescent="0.3">
      <c r="A235" s="59">
        <v>45545</v>
      </c>
      <c r="B235" s="67" t="s">
        <v>78</v>
      </c>
      <c r="C235" s="65" t="s">
        <v>12</v>
      </c>
      <c r="D235" s="61" t="s">
        <v>67</v>
      </c>
      <c r="E235" s="61" t="s">
        <v>604</v>
      </c>
      <c r="F235" s="62">
        <v>0</v>
      </c>
      <c r="G235" s="62"/>
      <c r="H235" s="63" t="s">
        <v>745</v>
      </c>
      <c r="I235" s="62"/>
      <c r="J235" s="52" t="s">
        <v>744</v>
      </c>
    </row>
    <row r="236" spans="1:10" ht="26.4" customHeight="1" x14ac:dyDescent="0.3">
      <c r="A236" s="59">
        <v>45982</v>
      </c>
      <c r="B236" s="67" t="s">
        <v>78</v>
      </c>
      <c r="C236" s="65" t="s">
        <v>12</v>
      </c>
      <c r="D236" s="61" t="s">
        <v>67</v>
      </c>
      <c r="E236" s="61" t="s">
        <v>488</v>
      </c>
      <c r="F236" s="62">
        <v>5066</v>
      </c>
      <c r="G236" s="62"/>
      <c r="H236" s="52" t="s">
        <v>154</v>
      </c>
      <c r="I236" s="64" t="s">
        <v>747</v>
      </c>
      <c r="J236" s="63" t="s">
        <v>188</v>
      </c>
    </row>
    <row r="237" spans="1:10" ht="26.4" customHeight="1" x14ac:dyDescent="0.3">
      <c r="A237" s="59">
        <v>45407</v>
      </c>
      <c r="B237" s="68" t="s">
        <v>6</v>
      </c>
      <c r="C237" s="65" t="s">
        <v>8</v>
      </c>
      <c r="D237" s="61" t="s">
        <v>67</v>
      </c>
      <c r="E237" s="61" t="s">
        <v>488</v>
      </c>
      <c r="F237" s="62">
        <v>6615</v>
      </c>
      <c r="G237" s="62"/>
      <c r="H237" s="52" t="s">
        <v>154</v>
      </c>
      <c r="I237" s="64" t="s">
        <v>747</v>
      </c>
      <c r="J237" s="63" t="s">
        <v>188</v>
      </c>
    </row>
    <row r="238" spans="1:10" ht="26.4" customHeight="1" x14ac:dyDescent="0.3">
      <c r="A238" s="59">
        <v>45407</v>
      </c>
      <c r="B238" s="68" t="s">
        <v>9</v>
      </c>
      <c r="C238" s="65" t="s">
        <v>8</v>
      </c>
      <c r="D238" s="61" t="s">
        <v>67</v>
      </c>
      <c r="E238" s="61" t="s">
        <v>488</v>
      </c>
      <c r="F238" s="62">
        <v>13860</v>
      </c>
      <c r="G238" s="62"/>
      <c r="H238" s="52" t="s">
        <v>154</v>
      </c>
      <c r="I238" s="64" t="s">
        <v>747</v>
      </c>
      <c r="J238" s="63" t="s">
        <v>188</v>
      </c>
    </row>
    <row r="239" spans="1:10" ht="26.4" customHeight="1" x14ac:dyDescent="0.3">
      <c r="A239" s="59">
        <v>45734</v>
      </c>
      <c r="B239" s="55" t="s">
        <v>226</v>
      </c>
      <c r="C239" s="65" t="s">
        <v>12</v>
      </c>
      <c r="D239" s="61" t="s">
        <v>67</v>
      </c>
      <c r="E239" s="61" t="s">
        <v>605</v>
      </c>
      <c r="F239" s="62">
        <v>0</v>
      </c>
      <c r="G239" s="62"/>
      <c r="H239" s="63" t="s">
        <v>745</v>
      </c>
      <c r="I239" s="62"/>
      <c r="J239" s="52" t="s">
        <v>744</v>
      </c>
    </row>
    <row r="240" spans="1:10" ht="26.4" customHeight="1" x14ac:dyDescent="0.3">
      <c r="A240" s="59">
        <v>45633</v>
      </c>
      <c r="B240" s="55" t="s">
        <v>140</v>
      </c>
      <c r="C240" s="65" t="s">
        <v>12</v>
      </c>
      <c r="D240" s="61" t="s">
        <v>67</v>
      </c>
      <c r="E240" s="61" t="s">
        <v>606</v>
      </c>
      <c r="F240" s="62">
        <v>0</v>
      </c>
      <c r="G240" s="62"/>
      <c r="H240" s="63" t="s">
        <v>745</v>
      </c>
      <c r="I240" s="62"/>
      <c r="J240" s="52" t="s">
        <v>744</v>
      </c>
    </row>
    <row r="241" spans="1:10" ht="26.4" customHeight="1" x14ac:dyDescent="0.3">
      <c r="A241" s="59">
        <v>45743</v>
      </c>
      <c r="B241" s="55" t="s">
        <v>254</v>
      </c>
      <c r="C241" s="65" t="s">
        <v>12</v>
      </c>
      <c r="D241" s="61" t="s">
        <v>67</v>
      </c>
      <c r="E241" s="61" t="s">
        <v>607</v>
      </c>
      <c r="F241" s="62">
        <v>0</v>
      </c>
      <c r="G241" s="62"/>
      <c r="H241" s="63" t="s">
        <v>745</v>
      </c>
      <c r="I241" s="62"/>
      <c r="J241" s="52" t="s">
        <v>744</v>
      </c>
    </row>
    <row r="242" spans="1:10" ht="26.4" customHeight="1" x14ac:dyDescent="0.3">
      <c r="A242" s="59">
        <v>45407</v>
      </c>
      <c r="B242" s="68" t="s">
        <v>6</v>
      </c>
      <c r="C242" s="60" t="s">
        <v>8</v>
      </c>
      <c r="D242" s="61" t="s">
        <v>7</v>
      </c>
      <c r="E242" s="61" t="s">
        <v>608</v>
      </c>
      <c r="F242" s="62">
        <v>0</v>
      </c>
      <c r="G242" s="62"/>
      <c r="H242" s="63" t="s">
        <v>745</v>
      </c>
      <c r="I242" s="62"/>
      <c r="J242" s="52" t="s">
        <v>744</v>
      </c>
    </row>
    <row r="243" spans="1:10" ht="26.4" customHeight="1" x14ac:dyDescent="0.3">
      <c r="A243" s="59">
        <v>45407</v>
      </c>
      <c r="B243" s="68" t="s">
        <v>9</v>
      </c>
      <c r="C243" s="60" t="s">
        <v>8</v>
      </c>
      <c r="D243" s="61" t="s">
        <v>7</v>
      </c>
      <c r="E243" s="61" t="s">
        <v>609</v>
      </c>
      <c r="F243" s="62">
        <v>0</v>
      </c>
      <c r="G243" s="62"/>
      <c r="H243" s="63" t="s">
        <v>745</v>
      </c>
      <c r="I243" s="62"/>
      <c r="J243" s="52" t="s">
        <v>744</v>
      </c>
    </row>
    <row r="244" spans="1:10" ht="26.4" customHeight="1" x14ac:dyDescent="0.3">
      <c r="A244" s="59">
        <v>45572</v>
      </c>
      <c r="B244" s="55" t="s">
        <v>95</v>
      </c>
      <c r="C244" s="65" t="s">
        <v>96</v>
      </c>
      <c r="D244" s="61" t="s">
        <v>295</v>
      </c>
      <c r="E244" s="61" t="s">
        <v>579</v>
      </c>
      <c r="F244" s="62">
        <v>0</v>
      </c>
      <c r="G244" s="62"/>
      <c r="H244" s="63" t="s">
        <v>745</v>
      </c>
      <c r="I244" s="62"/>
      <c r="J244" s="52" t="s">
        <v>744</v>
      </c>
    </row>
    <row r="245" spans="1:10" ht="26.4" customHeight="1" x14ac:dyDescent="0.3">
      <c r="A245" s="59">
        <v>45572</v>
      </c>
      <c r="B245" s="55" t="s">
        <v>95</v>
      </c>
      <c r="C245" s="65" t="s">
        <v>96</v>
      </c>
      <c r="D245" s="61" t="s">
        <v>295</v>
      </c>
      <c r="E245" s="61" t="s">
        <v>488</v>
      </c>
      <c r="F245" s="62">
        <v>1541</v>
      </c>
      <c r="G245" s="62"/>
      <c r="H245" s="52" t="s">
        <v>154</v>
      </c>
      <c r="I245" s="64" t="s">
        <v>747</v>
      </c>
      <c r="J245" s="63" t="s">
        <v>188</v>
      </c>
    </row>
    <row r="246" spans="1:10" ht="26.4" customHeight="1" x14ac:dyDescent="0.3">
      <c r="A246" s="59">
        <v>45441</v>
      </c>
      <c r="B246" s="68" t="s">
        <v>24</v>
      </c>
      <c r="C246" s="60" t="s">
        <v>25</v>
      </c>
      <c r="D246" s="61" t="s">
        <v>7</v>
      </c>
      <c r="E246" s="61" t="s">
        <v>610</v>
      </c>
      <c r="F246" s="62">
        <v>0</v>
      </c>
      <c r="G246" s="62"/>
      <c r="H246" s="63" t="s">
        <v>745</v>
      </c>
      <c r="I246" s="62"/>
      <c r="J246" s="52" t="s">
        <v>744</v>
      </c>
    </row>
    <row r="247" spans="1:10" ht="26.4" customHeight="1" x14ac:dyDescent="0.3">
      <c r="A247" s="59">
        <v>45441</v>
      </c>
      <c r="B247" s="68" t="s">
        <v>24</v>
      </c>
      <c r="C247" s="60" t="s">
        <v>25</v>
      </c>
      <c r="D247" s="61" t="s">
        <v>7</v>
      </c>
      <c r="E247" s="61" t="s">
        <v>488</v>
      </c>
      <c r="F247" s="62">
        <v>126</v>
      </c>
      <c r="G247" s="62"/>
      <c r="H247" s="52" t="s">
        <v>154</v>
      </c>
      <c r="I247" s="64" t="s">
        <v>747</v>
      </c>
      <c r="J247" s="63" t="s">
        <v>188</v>
      </c>
    </row>
    <row r="248" spans="1:10" ht="26.4" customHeight="1" x14ac:dyDescent="0.3">
      <c r="A248" s="75">
        <v>45495</v>
      </c>
      <c r="B248" s="66" t="s">
        <v>33</v>
      </c>
      <c r="C248" s="60" t="s">
        <v>34</v>
      </c>
      <c r="D248" s="61" t="s">
        <v>7</v>
      </c>
      <c r="E248" s="61" t="s">
        <v>611</v>
      </c>
      <c r="F248" s="62">
        <v>0</v>
      </c>
      <c r="G248" s="62"/>
      <c r="H248" s="63" t="s">
        <v>745</v>
      </c>
      <c r="I248" s="62"/>
      <c r="J248" s="52" t="s">
        <v>744</v>
      </c>
    </row>
    <row r="249" spans="1:10" ht="26.4" customHeight="1" x14ac:dyDescent="0.3">
      <c r="A249" s="75">
        <v>45495</v>
      </c>
      <c r="B249" s="66" t="s">
        <v>35</v>
      </c>
      <c r="C249" s="60" t="s">
        <v>34</v>
      </c>
      <c r="D249" s="61" t="s">
        <v>7</v>
      </c>
      <c r="E249" s="61" t="s">
        <v>612</v>
      </c>
      <c r="F249" s="62">
        <v>0</v>
      </c>
      <c r="G249" s="62"/>
      <c r="H249" s="63" t="s">
        <v>745</v>
      </c>
      <c r="I249" s="62"/>
      <c r="J249" s="52" t="s">
        <v>744</v>
      </c>
    </row>
    <row r="250" spans="1:10" ht="26.4" customHeight="1" x14ac:dyDescent="0.3">
      <c r="A250" s="75">
        <v>45495</v>
      </c>
      <c r="B250" s="66" t="s">
        <v>33</v>
      </c>
      <c r="C250" s="60" t="s">
        <v>34</v>
      </c>
      <c r="D250" s="61" t="s">
        <v>7</v>
      </c>
      <c r="E250" s="61" t="s">
        <v>488</v>
      </c>
      <c r="F250" s="62">
        <v>14000</v>
      </c>
      <c r="G250" s="62"/>
      <c r="H250" s="52" t="s">
        <v>154</v>
      </c>
      <c r="I250" s="64" t="s">
        <v>747</v>
      </c>
      <c r="J250" s="63" t="s">
        <v>188</v>
      </c>
    </row>
    <row r="251" spans="1:10" ht="26.4" customHeight="1" x14ac:dyDescent="0.3">
      <c r="A251" s="59">
        <v>45546</v>
      </c>
      <c r="B251" s="55" t="s">
        <v>82</v>
      </c>
      <c r="C251" s="65" t="s">
        <v>34</v>
      </c>
      <c r="D251" s="61" t="s">
        <v>67</v>
      </c>
      <c r="E251" s="61" t="s">
        <v>613</v>
      </c>
      <c r="F251" s="62">
        <v>0</v>
      </c>
      <c r="G251" s="62"/>
      <c r="H251" s="63" t="s">
        <v>745</v>
      </c>
      <c r="I251" s="62"/>
      <c r="J251" s="52" t="s">
        <v>744</v>
      </c>
    </row>
    <row r="252" spans="1:10" ht="26.4" customHeight="1" x14ac:dyDescent="0.3">
      <c r="A252" s="59">
        <v>45547</v>
      </c>
      <c r="B252" s="67" t="s">
        <v>85</v>
      </c>
      <c r="C252" s="65" t="s">
        <v>34</v>
      </c>
      <c r="D252" s="61" t="s">
        <v>67</v>
      </c>
      <c r="E252" s="61" t="s">
        <v>610</v>
      </c>
      <c r="F252" s="62">
        <v>0</v>
      </c>
      <c r="G252" s="62"/>
      <c r="H252" s="63" t="s">
        <v>745</v>
      </c>
      <c r="I252" s="62"/>
      <c r="J252" s="52" t="s">
        <v>744</v>
      </c>
    </row>
    <row r="253" spans="1:10" ht="26.4" customHeight="1" x14ac:dyDescent="0.3">
      <c r="A253" s="59">
        <v>45569</v>
      </c>
      <c r="B253" s="55" t="s">
        <v>92</v>
      </c>
      <c r="C253" s="65" t="s">
        <v>34</v>
      </c>
      <c r="D253" s="61" t="s">
        <v>67</v>
      </c>
      <c r="E253" s="61" t="s">
        <v>497</v>
      </c>
      <c r="F253" s="62">
        <v>0</v>
      </c>
      <c r="G253" s="62"/>
      <c r="H253" s="63" t="s">
        <v>745</v>
      </c>
      <c r="I253" s="62"/>
      <c r="J253" s="52" t="s">
        <v>744</v>
      </c>
    </row>
    <row r="254" spans="1:10" ht="26.4" customHeight="1" x14ac:dyDescent="0.3">
      <c r="A254" s="59">
        <v>45575</v>
      </c>
      <c r="B254" s="78"/>
      <c r="C254" s="65" t="s">
        <v>34</v>
      </c>
      <c r="D254" s="61" t="s">
        <v>67</v>
      </c>
      <c r="E254" s="61" t="s">
        <v>488</v>
      </c>
      <c r="F254" s="62">
        <v>5040</v>
      </c>
      <c r="G254" s="62"/>
      <c r="H254" s="52" t="s">
        <v>154</v>
      </c>
      <c r="I254" s="64" t="s">
        <v>747</v>
      </c>
      <c r="J254" s="63" t="s">
        <v>188</v>
      </c>
    </row>
    <row r="255" spans="1:10" ht="26.4" customHeight="1" x14ac:dyDescent="0.3">
      <c r="A255" s="59">
        <v>45589</v>
      </c>
      <c r="B255" s="55" t="s">
        <v>106</v>
      </c>
      <c r="C255" s="65" t="s">
        <v>34</v>
      </c>
      <c r="D255" s="61" t="s">
        <v>67</v>
      </c>
      <c r="E255" s="61" t="s">
        <v>614</v>
      </c>
      <c r="F255" s="62">
        <v>0</v>
      </c>
      <c r="G255" s="62"/>
      <c r="H255" s="63" t="s">
        <v>745</v>
      </c>
      <c r="I255" s="62"/>
      <c r="J255" s="52" t="s">
        <v>744</v>
      </c>
    </row>
    <row r="256" spans="1:10" ht="26.4" customHeight="1" x14ac:dyDescent="0.3">
      <c r="A256" s="59">
        <v>45589</v>
      </c>
      <c r="B256" s="55" t="s">
        <v>106</v>
      </c>
      <c r="C256" s="65" t="s">
        <v>34</v>
      </c>
      <c r="D256" s="61" t="s">
        <v>67</v>
      </c>
      <c r="E256" s="61" t="s">
        <v>488</v>
      </c>
      <c r="F256" s="62">
        <v>5066</v>
      </c>
      <c r="G256" s="62"/>
      <c r="H256" s="52" t="s">
        <v>154</v>
      </c>
      <c r="I256" s="64" t="s">
        <v>747</v>
      </c>
      <c r="J256" s="63" t="s">
        <v>188</v>
      </c>
    </row>
    <row r="257" spans="1:10" ht="26.4" customHeight="1" x14ac:dyDescent="0.3">
      <c r="A257" s="59">
        <v>45663</v>
      </c>
      <c r="B257" s="55" t="s">
        <v>165</v>
      </c>
      <c r="C257" s="65" t="s">
        <v>34</v>
      </c>
      <c r="D257" s="61" t="s">
        <v>67</v>
      </c>
      <c r="E257" s="61" t="s">
        <v>615</v>
      </c>
      <c r="F257" s="62">
        <v>0</v>
      </c>
      <c r="G257" s="62"/>
      <c r="H257" s="63" t="s">
        <v>745</v>
      </c>
      <c r="I257" s="62"/>
      <c r="J257" s="52" t="s">
        <v>744</v>
      </c>
    </row>
    <row r="258" spans="1:10" ht="26.4" customHeight="1" x14ac:dyDescent="0.3">
      <c r="A258" s="59">
        <v>45740</v>
      </c>
      <c r="B258" s="67"/>
      <c r="C258" s="65" t="s">
        <v>34</v>
      </c>
      <c r="D258" s="61" t="s">
        <v>67</v>
      </c>
      <c r="E258" s="61" t="s">
        <v>488</v>
      </c>
      <c r="F258" s="62">
        <v>10077.77</v>
      </c>
      <c r="G258" s="62"/>
      <c r="H258" s="52" t="s">
        <v>154</v>
      </c>
      <c r="I258" s="64" t="s">
        <v>747</v>
      </c>
      <c r="J258" s="63" t="s">
        <v>188</v>
      </c>
    </row>
    <row r="259" spans="1:10" ht="26.4" customHeight="1" x14ac:dyDescent="0.3">
      <c r="A259" s="59">
        <v>45743</v>
      </c>
      <c r="B259" s="55" t="s">
        <v>253</v>
      </c>
      <c r="C259" s="65" t="s">
        <v>34</v>
      </c>
      <c r="D259" s="61" t="s">
        <v>67</v>
      </c>
      <c r="E259" s="61" t="s">
        <v>616</v>
      </c>
      <c r="F259" s="62">
        <v>0</v>
      </c>
      <c r="G259" s="62"/>
      <c r="H259" s="63" t="s">
        <v>745</v>
      </c>
      <c r="I259" s="62"/>
      <c r="J259" s="52" t="s">
        <v>744</v>
      </c>
    </row>
    <row r="260" spans="1:10" ht="26.4" customHeight="1" x14ac:dyDescent="0.3">
      <c r="A260" s="59">
        <v>45576</v>
      </c>
      <c r="B260" s="55" t="s">
        <v>101</v>
      </c>
      <c r="C260" s="65" t="s">
        <v>100</v>
      </c>
      <c r="D260" s="61" t="s">
        <v>67</v>
      </c>
      <c r="E260" s="61" t="s">
        <v>617</v>
      </c>
      <c r="F260" s="62">
        <v>0</v>
      </c>
      <c r="G260" s="62"/>
      <c r="H260" s="63" t="s">
        <v>745</v>
      </c>
      <c r="I260" s="62"/>
      <c r="J260" s="52" t="s">
        <v>744</v>
      </c>
    </row>
    <row r="261" spans="1:10" ht="26.4" customHeight="1" x14ac:dyDescent="0.3">
      <c r="A261" s="59">
        <v>45576</v>
      </c>
      <c r="B261" s="55" t="s">
        <v>101</v>
      </c>
      <c r="C261" s="65" t="s">
        <v>100</v>
      </c>
      <c r="D261" s="61" t="s">
        <v>67</v>
      </c>
      <c r="E261" s="61" t="s">
        <v>488</v>
      </c>
      <c r="F261" s="62">
        <v>184</v>
      </c>
      <c r="G261" s="62"/>
      <c r="H261" s="52" t="s">
        <v>154</v>
      </c>
      <c r="I261" s="64" t="s">
        <v>747</v>
      </c>
      <c r="J261" s="63" t="s">
        <v>188</v>
      </c>
    </row>
    <row r="262" spans="1:10" ht="26.4" customHeight="1" x14ac:dyDescent="0.3">
      <c r="A262" s="59">
        <v>45709</v>
      </c>
      <c r="B262" s="67" t="s">
        <v>238</v>
      </c>
      <c r="C262" s="65" t="s">
        <v>212</v>
      </c>
      <c r="D262" s="61" t="s">
        <v>67</v>
      </c>
      <c r="E262" s="61" t="s">
        <v>618</v>
      </c>
      <c r="F262" s="62">
        <v>0</v>
      </c>
      <c r="G262" s="62"/>
      <c r="H262" s="63" t="s">
        <v>745</v>
      </c>
      <c r="I262" s="62"/>
      <c r="J262" s="52" t="s">
        <v>744</v>
      </c>
    </row>
    <row r="263" spans="1:10" ht="26.4" customHeight="1" x14ac:dyDescent="0.3">
      <c r="A263" s="59">
        <v>45726</v>
      </c>
      <c r="B263" s="55" t="s">
        <v>239</v>
      </c>
      <c r="C263" s="65" t="s">
        <v>212</v>
      </c>
      <c r="D263" s="61" t="s">
        <v>67</v>
      </c>
      <c r="E263" s="61" t="s">
        <v>540</v>
      </c>
      <c r="F263" s="62">
        <v>0</v>
      </c>
      <c r="G263" s="62"/>
      <c r="H263" s="63" t="s">
        <v>745</v>
      </c>
      <c r="I263" s="62"/>
      <c r="J263" s="52" t="s">
        <v>744</v>
      </c>
    </row>
    <row r="264" spans="1:10" ht="26.4" customHeight="1" x14ac:dyDescent="0.3">
      <c r="A264" s="59">
        <v>45733</v>
      </c>
      <c r="B264" s="67"/>
      <c r="C264" s="65" t="s">
        <v>212</v>
      </c>
      <c r="D264" s="61" t="s">
        <v>67</v>
      </c>
      <c r="E264" s="61" t="s">
        <v>488</v>
      </c>
      <c r="F264" s="62">
        <v>16128</v>
      </c>
      <c r="G264" s="62"/>
      <c r="H264" s="52" t="s">
        <v>154</v>
      </c>
      <c r="I264" s="64" t="s">
        <v>747</v>
      </c>
      <c r="J264" s="63" t="s">
        <v>188</v>
      </c>
    </row>
    <row r="265" spans="1:10" ht="26.4" customHeight="1" x14ac:dyDescent="0.3">
      <c r="A265" s="59">
        <v>45749</v>
      </c>
      <c r="B265" s="67"/>
      <c r="C265" s="65" t="s">
        <v>44</v>
      </c>
      <c r="D265" s="61" t="s">
        <v>67</v>
      </c>
      <c r="E265" s="61" t="s">
        <v>488</v>
      </c>
      <c r="F265" s="62">
        <v>144284.42000000001</v>
      </c>
      <c r="G265" s="62"/>
      <c r="H265" s="52" t="s">
        <v>154</v>
      </c>
      <c r="I265" s="64" t="s">
        <v>747</v>
      </c>
      <c r="J265" s="63" t="s">
        <v>188</v>
      </c>
    </row>
    <row r="266" spans="1:10" ht="26.4" customHeight="1" x14ac:dyDescent="0.3">
      <c r="A266" s="59">
        <v>45749</v>
      </c>
      <c r="B266" s="55" t="s">
        <v>257</v>
      </c>
      <c r="C266" s="65" t="s">
        <v>256</v>
      </c>
      <c r="D266" s="61" t="s">
        <v>67</v>
      </c>
      <c r="E266" s="61" t="s">
        <v>619</v>
      </c>
      <c r="F266" s="62">
        <v>0</v>
      </c>
      <c r="G266" s="62"/>
      <c r="H266" s="63" t="s">
        <v>745</v>
      </c>
      <c r="I266" s="62"/>
      <c r="J266" s="52" t="s">
        <v>744</v>
      </c>
    </row>
    <row r="267" spans="1:10" ht="26.4" customHeight="1" x14ac:dyDescent="0.3">
      <c r="A267" s="59">
        <v>45749</v>
      </c>
      <c r="B267" s="55" t="s">
        <v>258</v>
      </c>
      <c r="C267" s="65" t="s">
        <v>256</v>
      </c>
      <c r="D267" s="61" t="s">
        <v>67</v>
      </c>
      <c r="E267" s="61" t="s">
        <v>620</v>
      </c>
      <c r="F267" s="62">
        <v>0</v>
      </c>
      <c r="G267" s="62"/>
      <c r="H267" s="63" t="s">
        <v>745</v>
      </c>
      <c r="I267" s="62"/>
      <c r="J267" s="52" t="s">
        <v>744</v>
      </c>
    </row>
    <row r="268" spans="1:10" ht="26.4" customHeight="1" x14ac:dyDescent="0.3">
      <c r="A268" s="59">
        <v>45749</v>
      </c>
      <c r="B268" s="55" t="s">
        <v>259</v>
      </c>
      <c r="C268" s="65" t="s">
        <v>256</v>
      </c>
      <c r="D268" s="61" t="s">
        <v>67</v>
      </c>
      <c r="E268" s="61" t="s">
        <v>621</v>
      </c>
      <c r="F268" s="62">
        <v>0</v>
      </c>
      <c r="G268" s="62"/>
      <c r="H268" s="63" t="s">
        <v>745</v>
      </c>
      <c r="I268" s="62"/>
      <c r="J268" s="52" t="s">
        <v>744</v>
      </c>
    </row>
    <row r="269" spans="1:10" ht="26.4" customHeight="1" x14ac:dyDescent="0.3">
      <c r="A269" s="59">
        <v>45750</v>
      </c>
      <c r="B269" s="67" t="s">
        <v>260</v>
      </c>
      <c r="C269" s="65" t="s">
        <v>256</v>
      </c>
      <c r="D269" s="61" t="s">
        <v>67</v>
      </c>
      <c r="E269" s="61" t="s">
        <v>488</v>
      </c>
      <c r="F269" s="62">
        <v>6193</v>
      </c>
      <c r="G269" s="62"/>
      <c r="H269" s="52" t="s">
        <v>154</v>
      </c>
      <c r="I269" s="64" t="s">
        <v>747</v>
      </c>
      <c r="J269" s="63" t="s">
        <v>188</v>
      </c>
    </row>
    <row r="270" spans="1:10" ht="26.4" customHeight="1" x14ac:dyDescent="0.3">
      <c r="A270" s="59">
        <v>45743</v>
      </c>
      <c r="B270" s="55" t="s">
        <v>253</v>
      </c>
      <c r="C270" s="65" t="s">
        <v>34</v>
      </c>
      <c r="D270" s="61" t="s">
        <v>67</v>
      </c>
      <c r="E270" s="61" t="s">
        <v>488</v>
      </c>
      <c r="F270" s="62">
        <v>3063</v>
      </c>
      <c r="G270" s="62"/>
      <c r="H270" s="52" t="s">
        <v>154</v>
      </c>
      <c r="I270" s="64" t="s">
        <v>747</v>
      </c>
      <c r="J270" s="63" t="s">
        <v>188</v>
      </c>
    </row>
    <row r="271" spans="1:10" ht="26.4" customHeight="1" x14ac:dyDescent="0.3">
      <c r="A271" s="59">
        <v>45568</v>
      </c>
      <c r="B271" s="67" t="s">
        <v>88</v>
      </c>
      <c r="C271" s="65" t="s">
        <v>89</v>
      </c>
      <c r="D271" s="61" t="s">
        <v>67</v>
      </c>
      <c r="E271" s="61" t="s">
        <v>488</v>
      </c>
      <c r="F271" s="62">
        <v>8000</v>
      </c>
      <c r="G271" s="62"/>
      <c r="H271" s="52" t="s">
        <v>154</v>
      </c>
      <c r="I271" s="64" t="s">
        <v>747</v>
      </c>
      <c r="J271" s="63" t="s">
        <v>188</v>
      </c>
    </row>
    <row r="272" spans="1:10" ht="26.4" customHeight="1" x14ac:dyDescent="0.3">
      <c r="A272" s="59">
        <v>45568</v>
      </c>
      <c r="B272" s="67" t="s">
        <v>88</v>
      </c>
      <c r="C272" s="65" t="s">
        <v>89</v>
      </c>
      <c r="D272" s="61" t="s">
        <v>67</v>
      </c>
      <c r="E272" s="61" t="s">
        <v>488</v>
      </c>
      <c r="F272" s="62">
        <v>5000</v>
      </c>
      <c r="G272" s="62"/>
      <c r="H272" s="52" t="s">
        <v>154</v>
      </c>
      <c r="I272" s="64" t="s">
        <v>747</v>
      </c>
      <c r="J272" s="63" t="s">
        <v>188</v>
      </c>
    </row>
    <row r="273" spans="1:10" ht="26.4" customHeight="1" x14ac:dyDescent="0.3">
      <c r="A273" s="59">
        <v>45754</v>
      </c>
      <c r="B273" s="55" t="s">
        <v>262</v>
      </c>
      <c r="C273" s="65" t="s">
        <v>100</v>
      </c>
      <c r="D273" s="61" t="s">
        <v>67</v>
      </c>
      <c r="E273" s="61" t="s">
        <v>553</v>
      </c>
      <c r="F273" s="62">
        <v>0</v>
      </c>
      <c r="G273" s="62"/>
      <c r="H273" s="63" t="s">
        <v>745</v>
      </c>
      <c r="I273" s="62"/>
      <c r="J273" s="52" t="s">
        <v>744</v>
      </c>
    </row>
    <row r="274" spans="1:10" ht="26.4" customHeight="1" x14ac:dyDescent="0.3">
      <c r="A274" s="59">
        <v>45755</v>
      </c>
      <c r="B274" s="55" t="s">
        <v>263</v>
      </c>
      <c r="C274" s="65" t="s">
        <v>37</v>
      </c>
      <c r="D274" s="61" t="s">
        <v>68</v>
      </c>
      <c r="E274" s="61" t="s">
        <v>490</v>
      </c>
      <c r="F274" s="62">
        <v>0</v>
      </c>
      <c r="G274" s="62"/>
      <c r="H274" s="63" t="s">
        <v>745</v>
      </c>
      <c r="I274" s="62"/>
      <c r="J274" s="52" t="s">
        <v>744</v>
      </c>
    </row>
    <row r="275" spans="1:10" ht="26.4" customHeight="1" x14ac:dyDescent="0.3">
      <c r="A275" s="59">
        <v>45755</v>
      </c>
      <c r="B275" s="55" t="s">
        <v>264</v>
      </c>
      <c r="C275" s="65" t="s">
        <v>105</v>
      </c>
      <c r="D275" s="61" t="s">
        <v>68</v>
      </c>
      <c r="E275" s="61" t="s">
        <v>622</v>
      </c>
      <c r="F275" s="62">
        <v>0</v>
      </c>
      <c r="G275" s="62"/>
      <c r="H275" s="63" t="s">
        <v>745</v>
      </c>
      <c r="I275" s="62"/>
      <c r="J275" s="52" t="s">
        <v>744</v>
      </c>
    </row>
    <row r="276" spans="1:10" ht="26.4" customHeight="1" x14ac:dyDescent="0.3">
      <c r="A276" s="59">
        <v>45755</v>
      </c>
      <c r="B276" s="55" t="s">
        <v>262</v>
      </c>
      <c r="C276" s="65" t="s">
        <v>100</v>
      </c>
      <c r="D276" s="61" t="s">
        <v>67</v>
      </c>
      <c r="E276" s="61" t="s">
        <v>488</v>
      </c>
      <c r="F276" s="62">
        <v>945</v>
      </c>
      <c r="G276" s="62"/>
      <c r="H276" s="52" t="s">
        <v>154</v>
      </c>
      <c r="I276" s="64" t="s">
        <v>747</v>
      </c>
      <c r="J276" s="63" t="s">
        <v>188</v>
      </c>
    </row>
    <row r="277" spans="1:10" ht="26.4" customHeight="1" x14ac:dyDescent="0.3">
      <c r="A277" s="59">
        <v>45755</v>
      </c>
      <c r="B277" s="55" t="s">
        <v>156</v>
      </c>
      <c r="C277" s="65" t="s">
        <v>87</v>
      </c>
      <c r="D277" s="61" t="s">
        <v>67</v>
      </c>
      <c r="E277" s="61" t="s">
        <v>488</v>
      </c>
      <c r="F277" s="62">
        <v>995</v>
      </c>
      <c r="G277" s="62"/>
      <c r="H277" s="52" t="s">
        <v>154</v>
      </c>
      <c r="I277" s="64" t="s">
        <v>747</v>
      </c>
      <c r="J277" s="63" t="s">
        <v>188</v>
      </c>
    </row>
    <row r="278" spans="1:10" ht="26.4" customHeight="1" x14ac:dyDescent="0.3">
      <c r="A278" s="59">
        <v>45755</v>
      </c>
      <c r="B278" s="67" t="s">
        <v>86</v>
      </c>
      <c r="C278" s="65" t="s">
        <v>87</v>
      </c>
      <c r="D278" s="61" t="s">
        <v>67</v>
      </c>
      <c r="E278" s="61" t="s">
        <v>488</v>
      </c>
      <c r="F278" s="62">
        <v>36</v>
      </c>
      <c r="G278" s="62"/>
      <c r="H278" s="52" t="s">
        <v>154</v>
      </c>
      <c r="I278" s="64" t="s">
        <v>747</v>
      </c>
      <c r="J278" s="63" t="s">
        <v>188</v>
      </c>
    </row>
    <row r="279" spans="1:10" ht="26.4" customHeight="1" x14ac:dyDescent="0.3">
      <c r="A279" s="59">
        <v>45763</v>
      </c>
      <c r="B279" s="55" t="s">
        <v>209</v>
      </c>
      <c r="C279" s="65" t="s">
        <v>195</v>
      </c>
      <c r="D279" s="61" t="s">
        <v>67</v>
      </c>
      <c r="E279" s="61" t="s">
        <v>488</v>
      </c>
      <c r="F279" s="62">
        <v>10340</v>
      </c>
      <c r="G279" s="62"/>
      <c r="H279" s="52" t="s">
        <v>154</v>
      </c>
      <c r="I279" s="64" t="s">
        <v>747</v>
      </c>
      <c r="J279" s="63" t="s">
        <v>188</v>
      </c>
    </row>
    <row r="280" spans="1:10" ht="26.4" customHeight="1" x14ac:dyDescent="0.3">
      <c r="A280" s="59">
        <v>45763</v>
      </c>
      <c r="B280" s="55" t="s">
        <v>209</v>
      </c>
      <c r="C280" s="65" t="s">
        <v>195</v>
      </c>
      <c r="D280" s="61" t="s">
        <v>67</v>
      </c>
      <c r="E280" s="61" t="s">
        <v>488</v>
      </c>
      <c r="F280" s="62">
        <v>5</v>
      </c>
      <c r="G280" s="62"/>
      <c r="H280" s="52" t="s">
        <v>154</v>
      </c>
      <c r="I280" s="64" t="s">
        <v>747</v>
      </c>
      <c r="J280" s="63" t="s">
        <v>188</v>
      </c>
    </row>
    <row r="281" spans="1:10" ht="26.4" customHeight="1" x14ac:dyDescent="0.3">
      <c r="A281" s="59">
        <v>45601</v>
      </c>
      <c r="B281" s="55" t="s">
        <v>114</v>
      </c>
      <c r="C281" s="65" t="s">
        <v>40</v>
      </c>
      <c r="D281" s="61" t="s">
        <v>67</v>
      </c>
      <c r="E281" s="61" t="s">
        <v>488</v>
      </c>
      <c r="F281" s="62">
        <v>12</v>
      </c>
      <c r="G281" s="62"/>
      <c r="H281" s="52" t="s">
        <v>154</v>
      </c>
      <c r="I281" s="64" t="s">
        <v>747</v>
      </c>
      <c r="J281" s="63" t="s">
        <v>188</v>
      </c>
    </row>
    <row r="282" spans="1:10" ht="26.4" customHeight="1" x14ac:dyDescent="0.3">
      <c r="A282" s="59">
        <v>45763</v>
      </c>
      <c r="B282" s="70" t="s">
        <v>267</v>
      </c>
      <c r="C282" s="65" t="s">
        <v>40</v>
      </c>
      <c r="D282" s="61" t="s">
        <v>67</v>
      </c>
      <c r="E282" s="61" t="s">
        <v>623</v>
      </c>
      <c r="F282" s="62">
        <v>0</v>
      </c>
      <c r="G282" s="62"/>
      <c r="H282" s="63" t="s">
        <v>745</v>
      </c>
      <c r="I282" s="62"/>
      <c r="J282" s="52" t="s">
        <v>744</v>
      </c>
    </row>
    <row r="283" spans="1:10" ht="26.4" customHeight="1" x14ac:dyDescent="0.3">
      <c r="A283" s="59">
        <v>45763</v>
      </c>
      <c r="B283" s="70" t="s">
        <v>267</v>
      </c>
      <c r="C283" s="65" t="s">
        <v>40</v>
      </c>
      <c r="D283" s="61" t="s">
        <v>67</v>
      </c>
      <c r="E283" s="61" t="s">
        <v>488</v>
      </c>
      <c r="F283" s="62">
        <v>1756</v>
      </c>
      <c r="G283" s="62"/>
      <c r="H283" s="52" t="s">
        <v>154</v>
      </c>
      <c r="I283" s="64" t="s">
        <v>747</v>
      </c>
      <c r="J283" s="63" t="s">
        <v>188</v>
      </c>
    </row>
    <row r="284" spans="1:10" ht="26.4" customHeight="1" x14ac:dyDescent="0.3">
      <c r="A284" s="59">
        <v>45771</v>
      </c>
      <c r="B284" s="70" t="s">
        <v>237</v>
      </c>
      <c r="C284" s="65" t="s">
        <v>207</v>
      </c>
      <c r="D284" s="61" t="s">
        <v>68</v>
      </c>
      <c r="E284" s="61" t="s">
        <v>488</v>
      </c>
      <c r="F284" s="62">
        <v>26900</v>
      </c>
      <c r="G284" s="62"/>
      <c r="H284" s="52" t="s">
        <v>154</v>
      </c>
      <c r="I284" s="64" t="s">
        <v>747</v>
      </c>
      <c r="J284" s="63" t="s">
        <v>188</v>
      </c>
    </row>
    <row r="285" spans="1:10" ht="26.4" customHeight="1" x14ac:dyDescent="0.3">
      <c r="A285" s="59">
        <v>45771</v>
      </c>
      <c r="B285" s="70" t="s">
        <v>237</v>
      </c>
      <c r="C285" s="65" t="s">
        <v>207</v>
      </c>
      <c r="D285" s="61" t="s">
        <v>68</v>
      </c>
      <c r="E285" s="61" t="s">
        <v>488</v>
      </c>
      <c r="F285" s="62">
        <v>100</v>
      </c>
      <c r="G285" s="62"/>
      <c r="H285" s="52" t="s">
        <v>154</v>
      </c>
      <c r="I285" s="64" t="s">
        <v>747</v>
      </c>
      <c r="J285" s="63" t="s">
        <v>188</v>
      </c>
    </row>
    <row r="286" spans="1:10" ht="26.4" customHeight="1" x14ac:dyDescent="0.3">
      <c r="A286" s="59">
        <v>45771</v>
      </c>
      <c r="B286" s="55" t="s">
        <v>250</v>
      </c>
      <c r="C286" s="65" t="s">
        <v>193</v>
      </c>
      <c r="D286" s="61" t="s">
        <v>68</v>
      </c>
      <c r="E286" s="61" t="s">
        <v>488</v>
      </c>
      <c r="F286" s="62">
        <v>9200</v>
      </c>
      <c r="G286" s="62"/>
      <c r="H286" s="52" t="s">
        <v>154</v>
      </c>
      <c r="I286" s="64" t="s">
        <v>747</v>
      </c>
      <c r="J286" s="63" t="s">
        <v>188</v>
      </c>
    </row>
    <row r="287" spans="1:10" ht="26.4" customHeight="1" x14ac:dyDescent="0.3">
      <c r="A287" s="59">
        <v>45771</v>
      </c>
      <c r="B287" s="55" t="s">
        <v>185</v>
      </c>
      <c r="C287" s="65" t="s">
        <v>108</v>
      </c>
      <c r="D287" s="61" t="s">
        <v>67</v>
      </c>
      <c r="E287" s="61" t="s">
        <v>488</v>
      </c>
      <c r="F287" s="62">
        <v>9482</v>
      </c>
      <c r="G287" s="62"/>
      <c r="H287" s="52" t="s">
        <v>154</v>
      </c>
      <c r="I287" s="64" t="s">
        <v>747</v>
      </c>
      <c r="J287" s="63" t="s">
        <v>188</v>
      </c>
    </row>
    <row r="288" spans="1:10" ht="26.4" customHeight="1" x14ac:dyDescent="0.3">
      <c r="A288" s="59">
        <v>45769</v>
      </c>
      <c r="B288" s="55" t="s">
        <v>281</v>
      </c>
      <c r="C288" s="65" t="s">
        <v>75</v>
      </c>
      <c r="D288" s="61" t="s">
        <v>149</v>
      </c>
      <c r="E288" s="61" t="s">
        <v>596</v>
      </c>
      <c r="F288" s="62">
        <v>0</v>
      </c>
      <c r="G288" s="62"/>
      <c r="H288" s="63" t="s">
        <v>745</v>
      </c>
      <c r="I288" s="62"/>
      <c r="J288" s="52" t="s">
        <v>744</v>
      </c>
    </row>
    <row r="289" spans="1:10" ht="26.4" customHeight="1" x14ac:dyDescent="0.3">
      <c r="A289" s="59">
        <v>45763</v>
      </c>
      <c r="B289" s="55" t="s">
        <v>268</v>
      </c>
      <c r="C289" s="65" t="s">
        <v>105</v>
      </c>
      <c r="D289" s="61" t="s">
        <v>68</v>
      </c>
      <c r="E289" s="61" t="s">
        <v>622</v>
      </c>
      <c r="F289" s="62">
        <v>0</v>
      </c>
      <c r="G289" s="62"/>
      <c r="H289" s="63" t="s">
        <v>745</v>
      </c>
      <c r="I289" s="62"/>
      <c r="J289" s="52" t="s">
        <v>744</v>
      </c>
    </row>
    <row r="290" spans="1:10" ht="26.4" customHeight="1" x14ac:dyDescent="0.3">
      <c r="A290" s="59">
        <v>45761</v>
      </c>
      <c r="B290" s="55" t="s">
        <v>317</v>
      </c>
      <c r="C290" s="65" t="s">
        <v>269</v>
      </c>
      <c r="D290" s="61" t="s">
        <v>149</v>
      </c>
      <c r="E290" s="61" t="s">
        <v>624</v>
      </c>
      <c r="F290" s="62">
        <v>0</v>
      </c>
      <c r="G290" s="62"/>
      <c r="H290" s="63" t="s">
        <v>745</v>
      </c>
      <c r="I290" s="62"/>
      <c r="J290" s="52" t="s">
        <v>744</v>
      </c>
    </row>
    <row r="291" spans="1:10" ht="26.4" customHeight="1" x14ac:dyDescent="0.3">
      <c r="A291" s="59">
        <v>45776</v>
      </c>
      <c r="B291" s="55" t="s">
        <v>271</v>
      </c>
      <c r="C291" s="65" t="s">
        <v>270</v>
      </c>
      <c r="D291" s="61" t="s">
        <v>67</v>
      </c>
      <c r="E291" s="61" t="s">
        <v>553</v>
      </c>
      <c r="F291" s="62">
        <v>0</v>
      </c>
      <c r="G291" s="62"/>
      <c r="H291" s="63" t="s">
        <v>745</v>
      </c>
      <c r="I291" s="62"/>
      <c r="J291" s="52" t="s">
        <v>744</v>
      </c>
    </row>
    <row r="292" spans="1:10" ht="26.4" customHeight="1" x14ac:dyDescent="0.3">
      <c r="A292" s="59">
        <v>45776</v>
      </c>
      <c r="B292" s="55" t="s">
        <v>271</v>
      </c>
      <c r="C292" s="65" t="s">
        <v>270</v>
      </c>
      <c r="D292" s="61" t="s">
        <v>67</v>
      </c>
      <c r="E292" s="61" t="s">
        <v>488</v>
      </c>
      <c r="F292" s="62">
        <v>1000</v>
      </c>
      <c r="G292" s="62"/>
      <c r="H292" s="52" t="s">
        <v>154</v>
      </c>
      <c r="I292" s="64" t="s">
        <v>747</v>
      </c>
      <c r="J292" s="63" t="s">
        <v>188</v>
      </c>
    </row>
    <row r="293" spans="1:10" ht="26.4" customHeight="1" x14ac:dyDescent="0.3">
      <c r="A293" s="59">
        <v>45776</v>
      </c>
      <c r="B293" s="55" t="s">
        <v>273</v>
      </c>
      <c r="C293" s="65" t="s">
        <v>272</v>
      </c>
      <c r="D293" s="61" t="s">
        <v>67</v>
      </c>
      <c r="E293" s="61" t="s">
        <v>561</v>
      </c>
      <c r="F293" s="62">
        <v>0</v>
      </c>
      <c r="G293" s="62"/>
      <c r="H293" s="63" t="s">
        <v>745</v>
      </c>
      <c r="I293" s="62"/>
      <c r="J293" s="52" t="s">
        <v>744</v>
      </c>
    </row>
    <row r="294" spans="1:10" ht="26.4" customHeight="1" x14ac:dyDescent="0.3">
      <c r="A294" s="59">
        <v>45698</v>
      </c>
      <c r="B294" s="55" t="s">
        <v>152</v>
      </c>
      <c r="C294" s="65" t="s">
        <v>127</v>
      </c>
      <c r="D294" s="61" t="s">
        <v>67</v>
      </c>
      <c r="E294" s="61" t="s">
        <v>488</v>
      </c>
      <c r="F294" s="62">
        <v>3024</v>
      </c>
      <c r="G294" s="62"/>
      <c r="H294" s="52" t="s">
        <v>154</v>
      </c>
      <c r="I294" s="64" t="s">
        <v>747</v>
      </c>
      <c r="J294" s="63" t="s">
        <v>188</v>
      </c>
    </row>
    <row r="295" spans="1:10" ht="26.4" customHeight="1" x14ac:dyDescent="0.3">
      <c r="A295" s="59">
        <v>45633</v>
      </c>
      <c r="B295" s="55" t="s">
        <v>140</v>
      </c>
      <c r="C295" s="65" t="s">
        <v>12</v>
      </c>
      <c r="D295" s="61" t="s">
        <v>67</v>
      </c>
      <c r="E295" s="61" t="s">
        <v>488</v>
      </c>
      <c r="F295" s="62">
        <v>4515</v>
      </c>
      <c r="G295" s="62"/>
      <c r="H295" s="52" t="s">
        <v>154</v>
      </c>
      <c r="I295" s="64" t="s">
        <v>747</v>
      </c>
      <c r="J295" s="63" t="s">
        <v>188</v>
      </c>
    </row>
    <row r="296" spans="1:10" ht="26.4" customHeight="1" x14ac:dyDescent="0.3">
      <c r="A296" s="59">
        <v>45740</v>
      </c>
      <c r="B296" s="55" t="s">
        <v>233</v>
      </c>
      <c r="C296" s="65" t="s">
        <v>64</v>
      </c>
      <c r="D296" s="61" t="s">
        <v>67</v>
      </c>
      <c r="E296" s="61" t="s">
        <v>488</v>
      </c>
      <c r="F296" s="62">
        <v>3500</v>
      </c>
      <c r="G296" s="62"/>
      <c r="H296" s="52" t="s">
        <v>154</v>
      </c>
      <c r="I296" s="64" t="s">
        <v>747</v>
      </c>
      <c r="J296" s="63" t="s">
        <v>188</v>
      </c>
    </row>
    <row r="297" spans="1:10" ht="26.4" customHeight="1" x14ac:dyDescent="0.3">
      <c r="A297" s="59">
        <v>45777</v>
      </c>
      <c r="B297" s="67"/>
      <c r="C297" s="65" t="s">
        <v>105</v>
      </c>
      <c r="D297" s="61" t="s">
        <v>68</v>
      </c>
      <c r="E297" s="61" t="s">
        <v>488</v>
      </c>
      <c r="F297" s="62">
        <v>15790</v>
      </c>
      <c r="G297" s="62"/>
      <c r="H297" s="52" t="s">
        <v>154</v>
      </c>
      <c r="I297" s="64" t="s">
        <v>747</v>
      </c>
      <c r="J297" s="63" t="s">
        <v>188</v>
      </c>
    </row>
    <row r="298" spans="1:10" ht="26.4" customHeight="1" x14ac:dyDescent="0.3">
      <c r="A298" s="59">
        <v>45777</v>
      </c>
      <c r="B298" s="55" t="s">
        <v>274</v>
      </c>
      <c r="C298" s="65" t="s">
        <v>30</v>
      </c>
      <c r="D298" s="61" t="s">
        <v>67</v>
      </c>
      <c r="E298" s="61" t="s">
        <v>625</v>
      </c>
      <c r="F298" s="62">
        <v>0</v>
      </c>
      <c r="G298" s="62"/>
      <c r="H298" s="63" t="s">
        <v>745</v>
      </c>
      <c r="I298" s="62"/>
      <c r="J298" s="52" t="s">
        <v>744</v>
      </c>
    </row>
    <row r="299" spans="1:10" ht="26.4" customHeight="1" x14ac:dyDescent="0.3">
      <c r="A299" s="59">
        <v>45777</v>
      </c>
      <c r="B299" s="55" t="s">
        <v>275</v>
      </c>
      <c r="C299" s="65" t="s">
        <v>30</v>
      </c>
      <c r="D299" s="61" t="s">
        <v>67</v>
      </c>
      <c r="E299" s="61" t="s">
        <v>519</v>
      </c>
      <c r="F299" s="62">
        <v>0</v>
      </c>
      <c r="G299" s="62"/>
      <c r="H299" s="63" t="s">
        <v>745</v>
      </c>
      <c r="I299" s="62"/>
      <c r="J299" s="52" t="s">
        <v>744</v>
      </c>
    </row>
    <row r="300" spans="1:10" ht="26.4" customHeight="1" x14ac:dyDescent="0.3">
      <c r="A300" s="59">
        <v>45763</v>
      </c>
      <c r="B300" s="55" t="s">
        <v>276</v>
      </c>
      <c r="C300" s="65" t="s">
        <v>30</v>
      </c>
      <c r="D300" s="61" t="s">
        <v>67</v>
      </c>
      <c r="E300" s="61" t="s">
        <v>626</v>
      </c>
      <c r="F300" s="62">
        <v>0</v>
      </c>
      <c r="G300" s="62"/>
      <c r="H300" s="63" t="s">
        <v>745</v>
      </c>
      <c r="I300" s="62"/>
      <c r="J300" s="52" t="s">
        <v>744</v>
      </c>
    </row>
    <row r="301" spans="1:10" ht="26.4" customHeight="1" x14ac:dyDescent="0.3">
      <c r="A301" s="59">
        <v>45785</v>
      </c>
      <c r="B301" s="67"/>
      <c r="C301" s="65" t="s">
        <v>30</v>
      </c>
      <c r="D301" s="61" t="s">
        <v>67</v>
      </c>
      <c r="E301" s="61" t="s">
        <v>488</v>
      </c>
      <c r="F301" s="62">
        <v>4800</v>
      </c>
      <c r="G301" s="62"/>
      <c r="H301" s="52" t="s">
        <v>154</v>
      </c>
      <c r="I301" s="64" t="s">
        <v>747</v>
      </c>
      <c r="J301" s="63" t="s">
        <v>188</v>
      </c>
    </row>
    <row r="302" spans="1:10" ht="26.4" customHeight="1" x14ac:dyDescent="0.3">
      <c r="A302" s="59">
        <v>45769</v>
      </c>
      <c r="B302" s="55" t="s">
        <v>278</v>
      </c>
      <c r="C302" s="65" t="s">
        <v>277</v>
      </c>
      <c r="D302" s="61" t="s">
        <v>67</v>
      </c>
      <c r="E302" s="61" t="s">
        <v>564</v>
      </c>
      <c r="F302" s="62">
        <v>0</v>
      </c>
      <c r="G302" s="62"/>
      <c r="H302" s="63" t="s">
        <v>745</v>
      </c>
      <c r="I302" s="62"/>
      <c r="J302" s="52" t="s">
        <v>744</v>
      </c>
    </row>
    <row r="303" spans="1:10" ht="26.4" customHeight="1" x14ac:dyDescent="0.3">
      <c r="A303" s="59">
        <v>45769</v>
      </c>
      <c r="B303" s="55" t="s">
        <v>279</v>
      </c>
      <c r="C303" s="65" t="s">
        <v>277</v>
      </c>
      <c r="D303" s="61" t="s">
        <v>67</v>
      </c>
      <c r="E303" s="61" t="s">
        <v>627</v>
      </c>
      <c r="F303" s="62">
        <v>0</v>
      </c>
      <c r="G303" s="62"/>
      <c r="H303" s="63" t="s">
        <v>745</v>
      </c>
      <c r="I303" s="62"/>
      <c r="J303" s="52" t="s">
        <v>744</v>
      </c>
    </row>
    <row r="304" spans="1:10" ht="26.4" customHeight="1" x14ac:dyDescent="0.3">
      <c r="A304" s="59">
        <v>45769</v>
      </c>
      <c r="B304" s="55" t="s">
        <v>280</v>
      </c>
      <c r="C304" s="65" t="s">
        <v>277</v>
      </c>
      <c r="D304" s="61" t="s">
        <v>67</v>
      </c>
      <c r="E304" s="61" t="s">
        <v>628</v>
      </c>
      <c r="F304" s="62">
        <v>0</v>
      </c>
      <c r="G304" s="62"/>
      <c r="H304" s="63" t="s">
        <v>745</v>
      </c>
      <c r="I304" s="62"/>
      <c r="J304" s="52" t="s">
        <v>744</v>
      </c>
    </row>
    <row r="305" spans="1:10" ht="26.4" customHeight="1" x14ac:dyDescent="0.3">
      <c r="A305" s="59">
        <v>45775</v>
      </c>
      <c r="B305" s="55" t="s">
        <v>282</v>
      </c>
      <c r="C305" s="65" t="s">
        <v>105</v>
      </c>
      <c r="D305" s="61" t="s">
        <v>68</v>
      </c>
      <c r="E305" s="61" t="s">
        <v>629</v>
      </c>
      <c r="F305" s="62">
        <v>0</v>
      </c>
      <c r="G305" s="62"/>
      <c r="H305" s="63" t="s">
        <v>745</v>
      </c>
      <c r="I305" s="62"/>
      <c r="J305" s="52" t="s">
        <v>744</v>
      </c>
    </row>
    <row r="306" spans="1:10" ht="26.4" customHeight="1" x14ac:dyDescent="0.3">
      <c r="A306" s="59">
        <v>45775</v>
      </c>
      <c r="B306" s="55" t="s">
        <v>283</v>
      </c>
      <c r="C306" s="65" t="s">
        <v>105</v>
      </c>
      <c r="D306" s="61" t="s">
        <v>68</v>
      </c>
      <c r="E306" s="61" t="s">
        <v>509</v>
      </c>
      <c r="F306" s="62">
        <v>0</v>
      </c>
      <c r="G306" s="62"/>
      <c r="H306" s="63" t="s">
        <v>745</v>
      </c>
      <c r="I306" s="62"/>
      <c r="J306" s="52" t="s">
        <v>744</v>
      </c>
    </row>
    <row r="307" spans="1:10" ht="26.4" customHeight="1" x14ac:dyDescent="0.3">
      <c r="A307" s="59">
        <v>45775</v>
      </c>
      <c r="B307" s="55" t="s">
        <v>284</v>
      </c>
      <c r="C307" s="60" t="s">
        <v>230</v>
      </c>
      <c r="D307" s="61" t="s">
        <v>68</v>
      </c>
      <c r="E307" s="61" t="s">
        <v>630</v>
      </c>
      <c r="F307" s="62">
        <v>0</v>
      </c>
      <c r="G307" s="62"/>
      <c r="H307" s="63" t="s">
        <v>745</v>
      </c>
      <c r="I307" s="62"/>
      <c r="J307" s="52" t="s">
        <v>744</v>
      </c>
    </row>
    <row r="308" spans="1:10" ht="26.4" customHeight="1" x14ac:dyDescent="0.3">
      <c r="A308" s="59">
        <v>45776</v>
      </c>
      <c r="B308" s="55" t="s">
        <v>285</v>
      </c>
      <c r="C308" s="65" t="s">
        <v>105</v>
      </c>
      <c r="D308" s="61" t="s">
        <v>68</v>
      </c>
      <c r="E308" s="61" t="s">
        <v>509</v>
      </c>
      <c r="F308" s="62">
        <v>0</v>
      </c>
      <c r="G308" s="62"/>
      <c r="H308" s="63" t="s">
        <v>745</v>
      </c>
      <c r="I308" s="62"/>
      <c r="J308" s="52" t="s">
        <v>744</v>
      </c>
    </row>
    <row r="309" spans="1:10" ht="26.4" customHeight="1" x14ac:dyDescent="0.3">
      <c r="A309" s="59">
        <v>45779</v>
      </c>
      <c r="B309" s="55" t="s">
        <v>286</v>
      </c>
      <c r="C309" s="65" t="s">
        <v>108</v>
      </c>
      <c r="D309" s="61" t="s">
        <v>67</v>
      </c>
      <c r="E309" s="61" t="s">
        <v>631</v>
      </c>
      <c r="F309" s="62">
        <v>0</v>
      </c>
      <c r="G309" s="62"/>
      <c r="H309" s="63" t="s">
        <v>745</v>
      </c>
      <c r="I309" s="62"/>
      <c r="J309" s="52" t="s">
        <v>744</v>
      </c>
    </row>
    <row r="310" spans="1:10" ht="26.4" customHeight="1" x14ac:dyDescent="0.3">
      <c r="A310" s="59">
        <v>45785</v>
      </c>
      <c r="B310" s="55" t="s">
        <v>287</v>
      </c>
      <c r="C310" s="65" t="s">
        <v>32</v>
      </c>
      <c r="D310" s="61" t="s">
        <v>67</v>
      </c>
      <c r="E310" s="61" t="s">
        <v>632</v>
      </c>
      <c r="F310" s="62"/>
      <c r="G310" s="62"/>
      <c r="H310" s="77"/>
      <c r="I310" s="62"/>
      <c r="J310" s="52"/>
    </row>
    <row r="311" spans="1:10" ht="26.4" customHeight="1" x14ac:dyDescent="0.3">
      <c r="A311" s="59">
        <v>45783</v>
      </c>
      <c r="B311" s="55" t="s">
        <v>288</v>
      </c>
      <c r="C311" s="60" t="s">
        <v>230</v>
      </c>
      <c r="D311" s="61" t="s">
        <v>68</v>
      </c>
      <c r="E311" s="61" t="s">
        <v>633</v>
      </c>
      <c r="F311" s="62">
        <v>0</v>
      </c>
      <c r="G311" s="62"/>
      <c r="H311" s="63" t="s">
        <v>745</v>
      </c>
      <c r="I311" s="62"/>
      <c r="J311" s="52" t="s">
        <v>744</v>
      </c>
    </row>
    <row r="312" spans="1:10" ht="26.4" customHeight="1" x14ac:dyDescent="0.3">
      <c r="A312" s="59">
        <v>45784</v>
      </c>
      <c r="B312" s="55" t="s">
        <v>289</v>
      </c>
      <c r="C312" s="65" t="s">
        <v>105</v>
      </c>
      <c r="D312" s="61" t="s">
        <v>68</v>
      </c>
      <c r="E312" s="61" t="s">
        <v>634</v>
      </c>
      <c r="F312" s="62">
        <v>0</v>
      </c>
      <c r="G312" s="62"/>
      <c r="H312" s="63" t="s">
        <v>745</v>
      </c>
      <c r="I312" s="62"/>
      <c r="J312" s="52" t="s">
        <v>744</v>
      </c>
    </row>
    <row r="313" spans="1:10" ht="26.4" customHeight="1" x14ac:dyDescent="0.3">
      <c r="A313" s="59">
        <v>45784</v>
      </c>
      <c r="B313" s="55" t="s">
        <v>290</v>
      </c>
      <c r="C313" s="65" t="s">
        <v>145</v>
      </c>
      <c r="D313" s="61" t="s">
        <v>68</v>
      </c>
      <c r="E313" s="61" t="s">
        <v>635</v>
      </c>
      <c r="F313" s="62">
        <v>0</v>
      </c>
      <c r="G313" s="62"/>
      <c r="H313" s="63" t="s">
        <v>745</v>
      </c>
      <c r="I313" s="62"/>
      <c r="J313" s="52" t="s">
        <v>744</v>
      </c>
    </row>
    <row r="314" spans="1:10" ht="26.4" customHeight="1" x14ac:dyDescent="0.3">
      <c r="A314" s="59">
        <v>45789</v>
      </c>
      <c r="B314" s="55" t="s">
        <v>291</v>
      </c>
      <c r="C314" s="65" t="s">
        <v>44</v>
      </c>
      <c r="D314" s="61" t="s">
        <v>67</v>
      </c>
      <c r="E314" s="61" t="s">
        <v>636</v>
      </c>
      <c r="F314" s="62">
        <v>0</v>
      </c>
      <c r="G314" s="62"/>
      <c r="H314" s="63" t="s">
        <v>745</v>
      </c>
      <c r="I314" s="62"/>
      <c r="J314" s="52" t="s">
        <v>744</v>
      </c>
    </row>
    <row r="315" spans="1:10" ht="26.4" customHeight="1" x14ac:dyDescent="0.3">
      <c r="A315" s="59">
        <v>45786</v>
      </c>
      <c r="B315" s="55" t="s">
        <v>292</v>
      </c>
      <c r="C315" s="65" t="s">
        <v>100</v>
      </c>
      <c r="D315" s="61" t="s">
        <v>67</v>
      </c>
      <c r="E315" s="61" t="s">
        <v>637</v>
      </c>
      <c r="F315" s="62">
        <v>0</v>
      </c>
      <c r="G315" s="62"/>
      <c r="H315" s="63" t="s">
        <v>745</v>
      </c>
      <c r="I315" s="62"/>
      <c r="J315" s="52" t="s">
        <v>744</v>
      </c>
    </row>
    <row r="316" spans="1:10" ht="26.4" customHeight="1" x14ac:dyDescent="0.3">
      <c r="A316" s="59">
        <v>45789</v>
      </c>
      <c r="B316" s="55" t="s">
        <v>293</v>
      </c>
      <c r="C316" s="65" t="s">
        <v>64</v>
      </c>
      <c r="D316" s="61" t="s">
        <v>67</v>
      </c>
      <c r="E316" s="61" t="s">
        <v>638</v>
      </c>
      <c r="F316" s="62">
        <v>0</v>
      </c>
      <c r="G316" s="62"/>
      <c r="H316" s="63" t="s">
        <v>745</v>
      </c>
      <c r="I316" s="62"/>
      <c r="J316" s="52" t="s">
        <v>744</v>
      </c>
    </row>
    <row r="317" spans="1:10" ht="26.4" customHeight="1" x14ac:dyDescent="0.3">
      <c r="A317" s="59">
        <v>45789</v>
      </c>
      <c r="B317" s="55" t="s">
        <v>294</v>
      </c>
      <c r="C317" s="65" t="s">
        <v>37</v>
      </c>
      <c r="D317" s="61" t="s">
        <v>68</v>
      </c>
      <c r="E317" s="61" t="s">
        <v>639</v>
      </c>
      <c r="F317" s="62">
        <v>0</v>
      </c>
      <c r="G317" s="62"/>
      <c r="H317" s="63" t="s">
        <v>745</v>
      </c>
      <c r="I317" s="62"/>
      <c r="J317" s="52" t="s">
        <v>744</v>
      </c>
    </row>
    <row r="318" spans="1:10" ht="26.4" customHeight="1" x14ac:dyDescent="0.3">
      <c r="A318" s="59">
        <v>45786</v>
      </c>
      <c r="B318" s="55" t="s">
        <v>292</v>
      </c>
      <c r="C318" s="65" t="s">
        <v>100</v>
      </c>
      <c r="D318" s="61" t="s">
        <v>67</v>
      </c>
      <c r="E318" s="61" t="s">
        <v>488</v>
      </c>
      <c r="F318" s="62">
        <v>971</v>
      </c>
      <c r="G318" s="62"/>
      <c r="H318" s="52" t="s">
        <v>154</v>
      </c>
      <c r="I318" s="64" t="s">
        <v>747</v>
      </c>
      <c r="J318" s="63" t="s">
        <v>188</v>
      </c>
    </row>
    <row r="319" spans="1:10" ht="26.4" customHeight="1" x14ac:dyDescent="0.3">
      <c r="A319" s="59">
        <v>45769</v>
      </c>
      <c r="B319" s="55" t="s">
        <v>281</v>
      </c>
      <c r="C319" s="65" t="s">
        <v>75</v>
      </c>
      <c r="D319" s="61" t="s">
        <v>149</v>
      </c>
      <c r="E319" s="61" t="s">
        <v>488</v>
      </c>
      <c r="F319" s="62">
        <v>4620</v>
      </c>
      <c r="G319" s="62"/>
      <c r="H319" s="52" t="s">
        <v>154</v>
      </c>
      <c r="I319" s="64" t="s">
        <v>747</v>
      </c>
      <c r="J319" s="63" t="s">
        <v>188</v>
      </c>
    </row>
    <row r="320" spans="1:10" ht="26.4" customHeight="1" x14ac:dyDescent="0.3">
      <c r="A320" s="59">
        <v>45785</v>
      </c>
      <c r="B320" s="55" t="s">
        <v>263</v>
      </c>
      <c r="C320" s="65" t="s">
        <v>37</v>
      </c>
      <c r="D320" s="61" t="s">
        <v>68</v>
      </c>
      <c r="E320" s="61" t="s">
        <v>488</v>
      </c>
      <c r="F320" s="62">
        <v>3675</v>
      </c>
      <c r="G320" s="62"/>
      <c r="H320" s="52" t="s">
        <v>154</v>
      </c>
      <c r="I320" s="64" t="s">
        <v>747</v>
      </c>
      <c r="J320" s="63" t="s">
        <v>188</v>
      </c>
    </row>
    <row r="321" spans="1:10" ht="26.4" customHeight="1" x14ac:dyDescent="0.3">
      <c r="A321" s="59">
        <v>45785</v>
      </c>
      <c r="B321" s="55" t="s">
        <v>287</v>
      </c>
      <c r="C321" s="65" t="s">
        <v>32</v>
      </c>
      <c r="D321" s="61" t="s">
        <v>67</v>
      </c>
      <c r="E321" s="61" t="s">
        <v>488</v>
      </c>
      <c r="F321" s="62">
        <v>1286</v>
      </c>
      <c r="G321" s="62"/>
      <c r="H321" s="52" t="s">
        <v>154</v>
      </c>
      <c r="I321" s="64" t="s">
        <v>747</v>
      </c>
      <c r="J321" s="63" t="s">
        <v>188</v>
      </c>
    </row>
    <row r="322" spans="1:10" ht="26.4" customHeight="1" x14ac:dyDescent="0.3">
      <c r="A322" s="59">
        <v>45680</v>
      </c>
      <c r="B322" s="70" t="s">
        <v>179</v>
      </c>
      <c r="C322" s="65" t="s">
        <v>180</v>
      </c>
      <c r="D322" s="61" t="s">
        <v>68</v>
      </c>
      <c r="E322" s="61" t="s">
        <v>488</v>
      </c>
      <c r="F322" s="62">
        <v>1650</v>
      </c>
      <c r="G322" s="62"/>
      <c r="H322" s="52" t="s">
        <v>154</v>
      </c>
      <c r="I322" s="64" t="s">
        <v>747</v>
      </c>
      <c r="J322" s="63" t="s">
        <v>188</v>
      </c>
    </row>
    <row r="323" spans="1:10" ht="26.4" customHeight="1" x14ac:dyDescent="0.3">
      <c r="A323" s="59">
        <v>45789</v>
      </c>
      <c r="B323" s="55" t="s">
        <v>293</v>
      </c>
      <c r="C323" s="65" t="s">
        <v>64</v>
      </c>
      <c r="D323" s="61" t="s">
        <v>67</v>
      </c>
      <c r="E323" s="61" t="s">
        <v>488</v>
      </c>
      <c r="F323" s="62">
        <v>5800</v>
      </c>
      <c r="G323" s="62"/>
      <c r="H323" s="52" t="s">
        <v>154</v>
      </c>
      <c r="I323" s="64" t="s">
        <v>747</v>
      </c>
      <c r="J323" s="63" t="s">
        <v>188</v>
      </c>
    </row>
    <row r="324" spans="1:10" ht="26.4" customHeight="1" x14ac:dyDescent="0.3">
      <c r="A324" s="59">
        <v>45780</v>
      </c>
      <c r="B324" s="67" t="s">
        <v>296</v>
      </c>
      <c r="C324" s="65" t="s">
        <v>174</v>
      </c>
      <c r="D324" s="61" t="s">
        <v>67</v>
      </c>
      <c r="E324" s="61" t="s">
        <v>640</v>
      </c>
      <c r="F324" s="62">
        <v>0</v>
      </c>
      <c r="G324" s="62"/>
      <c r="H324" s="63" t="s">
        <v>745</v>
      </c>
      <c r="I324" s="62"/>
      <c r="J324" s="52" t="s">
        <v>744</v>
      </c>
    </row>
    <row r="325" spans="1:10" ht="26.4" customHeight="1" x14ac:dyDescent="0.3">
      <c r="A325" s="59">
        <v>45780</v>
      </c>
      <c r="B325" s="67" t="s">
        <v>296</v>
      </c>
      <c r="C325" s="65" t="s">
        <v>174</v>
      </c>
      <c r="D325" s="61" t="s">
        <v>67</v>
      </c>
      <c r="E325" s="61" t="s">
        <v>488</v>
      </c>
      <c r="F325" s="62">
        <v>1522</v>
      </c>
      <c r="G325" s="62"/>
      <c r="H325" s="52" t="s">
        <v>154</v>
      </c>
      <c r="I325" s="64" t="s">
        <v>747</v>
      </c>
      <c r="J325" s="63" t="s">
        <v>188</v>
      </c>
    </row>
    <row r="326" spans="1:10" ht="26.4" customHeight="1" x14ac:dyDescent="0.3">
      <c r="A326" s="59">
        <v>45797</v>
      </c>
      <c r="B326" s="70" t="s">
        <v>219</v>
      </c>
      <c r="C326" s="65" t="s">
        <v>221</v>
      </c>
      <c r="D326" s="61" t="s">
        <v>68</v>
      </c>
      <c r="E326" s="61" t="s">
        <v>488</v>
      </c>
      <c r="F326" s="62">
        <v>1470</v>
      </c>
      <c r="G326" s="62"/>
      <c r="H326" s="52" t="s">
        <v>154</v>
      </c>
      <c r="I326" s="64" t="s">
        <v>747</v>
      </c>
      <c r="J326" s="63" t="s">
        <v>188</v>
      </c>
    </row>
    <row r="327" spans="1:10" ht="26.4" customHeight="1" x14ac:dyDescent="0.3">
      <c r="A327" s="59">
        <v>45798</v>
      </c>
      <c r="B327" s="55" t="s">
        <v>297</v>
      </c>
      <c r="C327" s="65" t="s">
        <v>44</v>
      </c>
      <c r="D327" s="61" t="s">
        <v>67</v>
      </c>
      <c r="E327" s="61" t="s">
        <v>632</v>
      </c>
      <c r="F327" s="62">
        <v>0</v>
      </c>
      <c r="G327" s="62"/>
      <c r="H327" s="63" t="s">
        <v>745</v>
      </c>
      <c r="I327" s="62"/>
      <c r="J327" s="52" t="s">
        <v>744</v>
      </c>
    </row>
    <row r="328" spans="1:10" ht="26.4" customHeight="1" x14ac:dyDescent="0.3">
      <c r="A328" s="59">
        <v>45796</v>
      </c>
      <c r="B328" s="55" t="s">
        <v>298</v>
      </c>
      <c r="C328" s="65" t="s">
        <v>12</v>
      </c>
      <c r="D328" s="61" t="s">
        <v>67</v>
      </c>
      <c r="E328" s="61" t="s">
        <v>641</v>
      </c>
      <c r="F328" s="62">
        <v>0</v>
      </c>
      <c r="G328" s="62"/>
      <c r="H328" s="63" t="s">
        <v>745</v>
      </c>
      <c r="I328" s="62"/>
      <c r="J328" s="52" t="s">
        <v>744</v>
      </c>
    </row>
    <row r="329" spans="1:10" ht="26.4" customHeight="1" x14ac:dyDescent="0.3">
      <c r="A329" s="59">
        <v>45796</v>
      </c>
      <c r="B329" s="55" t="s">
        <v>299</v>
      </c>
      <c r="C329" s="65" t="s">
        <v>212</v>
      </c>
      <c r="D329" s="61" t="s">
        <v>67</v>
      </c>
      <c r="E329" s="61" t="s">
        <v>642</v>
      </c>
      <c r="F329" s="62">
        <v>0</v>
      </c>
      <c r="G329" s="62"/>
      <c r="H329" s="63" t="s">
        <v>745</v>
      </c>
      <c r="I329" s="62"/>
      <c r="J329" s="52" t="s">
        <v>744</v>
      </c>
    </row>
    <row r="330" spans="1:10" ht="26.4" customHeight="1" x14ac:dyDescent="0.3">
      <c r="A330" s="59">
        <v>45796</v>
      </c>
      <c r="B330" s="55" t="s">
        <v>300</v>
      </c>
      <c r="C330" s="65" t="s">
        <v>177</v>
      </c>
      <c r="D330" s="61" t="s">
        <v>67</v>
      </c>
      <c r="E330" s="61" t="s">
        <v>643</v>
      </c>
      <c r="F330" s="62">
        <v>0</v>
      </c>
      <c r="G330" s="62"/>
      <c r="H330" s="63" t="s">
        <v>745</v>
      </c>
      <c r="I330" s="62"/>
      <c r="J330" s="52" t="s">
        <v>744</v>
      </c>
    </row>
    <row r="331" spans="1:10" ht="26.4" customHeight="1" x14ac:dyDescent="0.3">
      <c r="A331" s="59">
        <v>45796</v>
      </c>
      <c r="B331" s="55" t="s">
        <v>301</v>
      </c>
      <c r="C331" s="65" t="s">
        <v>270</v>
      </c>
      <c r="D331" s="61" t="s">
        <v>67</v>
      </c>
      <c r="E331" s="61" t="s">
        <v>488</v>
      </c>
      <c r="F331" s="62">
        <v>0</v>
      </c>
      <c r="G331" s="62"/>
      <c r="H331" s="52" t="s">
        <v>154</v>
      </c>
      <c r="I331" s="64" t="s">
        <v>747</v>
      </c>
      <c r="J331" s="63" t="s">
        <v>188</v>
      </c>
    </row>
    <row r="332" spans="1:10" ht="26.4" customHeight="1" x14ac:dyDescent="0.3">
      <c r="A332" s="59">
        <v>45798</v>
      </c>
      <c r="B332" s="55" t="s">
        <v>303</v>
      </c>
      <c r="C332" s="65" t="s">
        <v>302</v>
      </c>
      <c r="D332" s="61" t="s">
        <v>67</v>
      </c>
      <c r="E332" s="61" t="s">
        <v>644</v>
      </c>
      <c r="F332" s="62">
        <v>0</v>
      </c>
      <c r="G332" s="62"/>
      <c r="H332" s="63" t="s">
        <v>745</v>
      </c>
      <c r="I332" s="62"/>
      <c r="J332" s="52" t="s">
        <v>744</v>
      </c>
    </row>
    <row r="333" spans="1:10" ht="26.4" customHeight="1" x14ac:dyDescent="0.3">
      <c r="A333" s="59">
        <v>45799</v>
      </c>
      <c r="B333" s="55" t="s">
        <v>304</v>
      </c>
      <c r="C333" s="65" t="s">
        <v>34</v>
      </c>
      <c r="D333" s="61" t="s">
        <v>67</v>
      </c>
      <c r="E333" s="61" t="s">
        <v>645</v>
      </c>
      <c r="F333" s="62">
        <v>0</v>
      </c>
      <c r="G333" s="62"/>
      <c r="H333" s="63" t="s">
        <v>745</v>
      </c>
      <c r="I333" s="62"/>
      <c r="J333" s="52" t="s">
        <v>744</v>
      </c>
    </row>
    <row r="334" spans="1:10" ht="26.4" customHeight="1" x14ac:dyDescent="0.3">
      <c r="A334" s="59">
        <v>45799</v>
      </c>
      <c r="B334" s="67"/>
      <c r="C334" s="65" t="s">
        <v>44</v>
      </c>
      <c r="D334" s="61" t="s">
        <v>67</v>
      </c>
      <c r="E334" s="61" t="s">
        <v>488</v>
      </c>
      <c r="F334" s="62">
        <v>11955</v>
      </c>
      <c r="G334" s="62"/>
      <c r="H334" s="52" t="s">
        <v>154</v>
      </c>
      <c r="I334" s="64" t="s">
        <v>747</v>
      </c>
      <c r="J334" s="63" t="s">
        <v>188</v>
      </c>
    </row>
    <row r="335" spans="1:10" ht="26.4" customHeight="1" x14ac:dyDescent="0.3">
      <c r="A335" s="59">
        <v>45799</v>
      </c>
      <c r="B335" s="67"/>
      <c r="C335" s="65" t="s">
        <v>105</v>
      </c>
      <c r="D335" s="61" t="s">
        <v>68</v>
      </c>
      <c r="E335" s="61" t="s">
        <v>488</v>
      </c>
      <c r="F335" s="62">
        <v>19560</v>
      </c>
      <c r="G335" s="62"/>
      <c r="H335" s="52" t="s">
        <v>154</v>
      </c>
      <c r="I335" s="64" t="s">
        <v>747</v>
      </c>
      <c r="J335" s="63" t="s">
        <v>188</v>
      </c>
    </row>
    <row r="336" spans="1:10" ht="26.4" customHeight="1" x14ac:dyDescent="0.3">
      <c r="A336" s="59">
        <v>45797</v>
      </c>
      <c r="B336" s="55" t="s">
        <v>303</v>
      </c>
      <c r="C336" s="65" t="s">
        <v>302</v>
      </c>
      <c r="D336" s="61" t="s">
        <v>67</v>
      </c>
      <c r="E336" s="61" t="s">
        <v>488</v>
      </c>
      <c r="F336" s="62">
        <v>8998</v>
      </c>
      <c r="G336" s="62"/>
      <c r="H336" s="52" t="s">
        <v>154</v>
      </c>
      <c r="I336" s="64" t="s">
        <v>747</v>
      </c>
      <c r="J336" s="63" t="s">
        <v>188</v>
      </c>
    </row>
    <row r="337" spans="1:10" ht="26.4" customHeight="1" x14ac:dyDescent="0.3">
      <c r="A337" s="59">
        <v>45796</v>
      </c>
      <c r="B337" s="55" t="s">
        <v>300</v>
      </c>
      <c r="C337" s="65" t="s">
        <v>177</v>
      </c>
      <c r="D337" s="61" t="s">
        <v>67</v>
      </c>
      <c r="E337" s="61" t="s">
        <v>488</v>
      </c>
      <c r="F337" s="62">
        <v>998</v>
      </c>
      <c r="G337" s="62"/>
      <c r="H337" s="52" t="s">
        <v>154</v>
      </c>
      <c r="I337" s="64" t="s">
        <v>747</v>
      </c>
      <c r="J337" s="63" t="s">
        <v>188</v>
      </c>
    </row>
    <row r="338" spans="1:10" ht="26.4" customHeight="1" x14ac:dyDescent="0.3">
      <c r="A338" s="59">
        <v>45799</v>
      </c>
      <c r="B338" s="55" t="s">
        <v>304</v>
      </c>
      <c r="C338" s="65" t="s">
        <v>34</v>
      </c>
      <c r="D338" s="61" t="s">
        <v>67</v>
      </c>
      <c r="E338" s="61" t="s">
        <v>488</v>
      </c>
      <c r="F338" s="62">
        <v>4058</v>
      </c>
      <c r="G338" s="62"/>
      <c r="H338" s="52" t="s">
        <v>154</v>
      </c>
      <c r="I338" s="64" t="s">
        <v>747</v>
      </c>
      <c r="J338" s="63" t="s">
        <v>188</v>
      </c>
    </row>
    <row r="339" spans="1:10" ht="26.4" customHeight="1" x14ac:dyDescent="0.3">
      <c r="A339" s="59">
        <v>45807</v>
      </c>
      <c r="B339" s="55" t="s">
        <v>307</v>
      </c>
      <c r="C339" s="65" t="s">
        <v>306</v>
      </c>
      <c r="D339" s="61" t="s">
        <v>67</v>
      </c>
      <c r="E339" s="61" t="s">
        <v>646</v>
      </c>
      <c r="F339" s="62">
        <v>0</v>
      </c>
      <c r="G339" s="62"/>
      <c r="H339" s="63" t="s">
        <v>745</v>
      </c>
      <c r="I339" s="62"/>
      <c r="J339" s="52" t="s">
        <v>744</v>
      </c>
    </row>
    <row r="340" spans="1:10" ht="26.4" customHeight="1" x14ac:dyDescent="0.3">
      <c r="A340" s="59">
        <v>45807</v>
      </c>
      <c r="B340" s="67" t="s">
        <v>308</v>
      </c>
      <c r="C340" s="65" t="s">
        <v>306</v>
      </c>
      <c r="D340" s="61" t="s">
        <v>67</v>
      </c>
      <c r="E340" s="61" t="s">
        <v>647</v>
      </c>
      <c r="F340" s="62">
        <v>0</v>
      </c>
      <c r="G340" s="62"/>
      <c r="H340" s="63" t="s">
        <v>745</v>
      </c>
      <c r="I340" s="62"/>
      <c r="J340" s="52" t="s">
        <v>744</v>
      </c>
    </row>
    <row r="341" spans="1:10" ht="26.4" customHeight="1" x14ac:dyDescent="0.3">
      <c r="A341" s="59">
        <v>45807</v>
      </c>
      <c r="B341" s="55" t="s">
        <v>307</v>
      </c>
      <c r="C341" s="65" t="s">
        <v>306</v>
      </c>
      <c r="D341" s="61" t="s">
        <v>67</v>
      </c>
      <c r="E341" s="61" t="s">
        <v>488</v>
      </c>
      <c r="F341" s="62">
        <v>1916</v>
      </c>
      <c r="G341" s="62"/>
      <c r="H341" s="52" t="s">
        <v>154</v>
      </c>
      <c r="I341" s="64" t="s">
        <v>747</v>
      </c>
      <c r="J341" s="63" t="s">
        <v>188</v>
      </c>
    </row>
    <row r="342" spans="1:10" ht="26.4" customHeight="1" x14ac:dyDescent="0.3">
      <c r="A342" s="59">
        <v>45807</v>
      </c>
      <c r="B342" s="67" t="s">
        <v>308</v>
      </c>
      <c r="C342" s="65" t="s">
        <v>306</v>
      </c>
      <c r="D342" s="61" t="s">
        <v>67</v>
      </c>
      <c r="E342" s="61" t="s">
        <v>488</v>
      </c>
      <c r="F342" s="62">
        <v>974</v>
      </c>
      <c r="G342" s="62"/>
      <c r="H342" s="52" t="s">
        <v>154</v>
      </c>
      <c r="I342" s="64" t="s">
        <v>747</v>
      </c>
      <c r="J342" s="63" t="s">
        <v>188</v>
      </c>
    </row>
    <row r="343" spans="1:10" ht="26.4" customHeight="1" x14ac:dyDescent="0.3">
      <c r="A343" s="59">
        <v>45807</v>
      </c>
      <c r="B343" s="67" t="s">
        <v>308</v>
      </c>
      <c r="C343" s="65" t="s">
        <v>306</v>
      </c>
      <c r="D343" s="61" t="s">
        <v>67</v>
      </c>
      <c r="E343" s="61" t="s">
        <v>488</v>
      </c>
      <c r="F343" s="62">
        <v>50</v>
      </c>
      <c r="G343" s="62"/>
      <c r="H343" s="52" t="s">
        <v>154</v>
      </c>
      <c r="I343" s="64" t="s">
        <v>747</v>
      </c>
      <c r="J343" s="63" t="s">
        <v>188</v>
      </c>
    </row>
    <row r="344" spans="1:10" ht="26.4" customHeight="1" x14ac:dyDescent="0.3">
      <c r="A344" s="59">
        <v>45807</v>
      </c>
      <c r="B344" s="70" t="s">
        <v>309</v>
      </c>
      <c r="C344" s="65" t="s">
        <v>100</v>
      </c>
      <c r="D344" s="61" t="s">
        <v>67</v>
      </c>
      <c r="E344" s="61" t="s">
        <v>648</v>
      </c>
      <c r="F344" s="62">
        <v>0</v>
      </c>
      <c r="G344" s="62"/>
      <c r="H344" s="63" t="s">
        <v>745</v>
      </c>
      <c r="I344" s="62"/>
      <c r="J344" s="52" t="s">
        <v>744</v>
      </c>
    </row>
    <row r="345" spans="1:10" ht="26.4" customHeight="1" x14ac:dyDescent="0.3">
      <c r="A345" s="59">
        <v>45807</v>
      </c>
      <c r="B345" s="70" t="s">
        <v>309</v>
      </c>
      <c r="C345" s="65" t="s">
        <v>100</v>
      </c>
      <c r="D345" s="61" t="s">
        <v>67</v>
      </c>
      <c r="E345" s="61" t="s">
        <v>488</v>
      </c>
      <c r="F345" s="62">
        <v>147</v>
      </c>
      <c r="G345" s="62"/>
      <c r="H345" s="52" t="s">
        <v>154</v>
      </c>
      <c r="I345" s="64" t="s">
        <v>747</v>
      </c>
      <c r="J345" s="63" t="s">
        <v>188</v>
      </c>
    </row>
    <row r="346" spans="1:10" ht="26.4" customHeight="1" x14ac:dyDescent="0.3">
      <c r="A346" s="59">
        <v>45807</v>
      </c>
      <c r="C346" s="60" t="s">
        <v>230</v>
      </c>
      <c r="D346" s="61" t="s">
        <v>68</v>
      </c>
      <c r="E346" s="61" t="s">
        <v>488</v>
      </c>
      <c r="F346" s="62">
        <v>12271.5</v>
      </c>
      <c r="G346" s="62"/>
      <c r="H346" s="52" t="s">
        <v>154</v>
      </c>
      <c r="I346" s="64" t="s">
        <v>747</v>
      </c>
      <c r="J346" s="63" t="s">
        <v>188</v>
      </c>
    </row>
    <row r="347" spans="1:10" ht="26.4" customHeight="1" x14ac:dyDescent="0.3">
      <c r="A347" s="59">
        <v>45769</v>
      </c>
      <c r="C347" s="65" t="s">
        <v>277</v>
      </c>
      <c r="D347" s="61" t="s">
        <v>67</v>
      </c>
      <c r="E347" s="61" t="s">
        <v>488</v>
      </c>
      <c r="F347" s="62">
        <v>16647.5</v>
      </c>
      <c r="G347" s="62"/>
      <c r="H347" s="52" t="s">
        <v>154</v>
      </c>
      <c r="I347" s="64" t="s">
        <v>747</v>
      </c>
      <c r="J347" s="63" t="s">
        <v>188</v>
      </c>
    </row>
    <row r="348" spans="1:10" ht="26.4" customHeight="1" x14ac:dyDescent="0.3">
      <c r="A348" s="59">
        <v>45769</v>
      </c>
      <c r="C348" s="65" t="s">
        <v>277</v>
      </c>
      <c r="D348" s="61" t="s">
        <v>67</v>
      </c>
      <c r="E348" s="61" t="s">
        <v>488</v>
      </c>
      <c r="F348" s="62">
        <v>52.5</v>
      </c>
      <c r="G348" s="62"/>
      <c r="H348" s="52" t="s">
        <v>154</v>
      </c>
      <c r="I348" s="64" t="s">
        <v>747</v>
      </c>
      <c r="J348" s="63" t="s">
        <v>188</v>
      </c>
    </row>
    <row r="349" spans="1:10" ht="26.4" customHeight="1" x14ac:dyDescent="0.3">
      <c r="A349" s="59">
        <v>45811</v>
      </c>
      <c r="C349" s="65" t="s">
        <v>277</v>
      </c>
      <c r="D349" s="61" t="s">
        <v>67</v>
      </c>
      <c r="E349" s="61" t="s">
        <v>488</v>
      </c>
      <c r="F349" s="62">
        <v>4000</v>
      </c>
      <c r="G349" s="62"/>
      <c r="H349" s="52" t="s">
        <v>154</v>
      </c>
      <c r="I349" s="64" t="s">
        <v>747</v>
      </c>
      <c r="J349" s="63" t="s">
        <v>188</v>
      </c>
    </row>
    <row r="350" spans="1:10" ht="26.4" customHeight="1" x14ac:dyDescent="0.3">
      <c r="A350" s="59">
        <v>45811</v>
      </c>
      <c r="C350" s="65" t="s">
        <v>277</v>
      </c>
      <c r="D350" s="61" t="s">
        <v>67</v>
      </c>
      <c r="E350" s="61" t="s">
        <v>488</v>
      </c>
      <c r="F350" s="62">
        <v>35</v>
      </c>
      <c r="G350" s="62"/>
      <c r="H350" s="52" t="s">
        <v>154</v>
      </c>
      <c r="I350" s="64" t="s">
        <v>747</v>
      </c>
      <c r="J350" s="63" t="s">
        <v>188</v>
      </c>
    </row>
    <row r="351" spans="1:10" ht="26.4" customHeight="1" x14ac:dyDescent="0.3">
      <c r="A351" s="59">
        <v>45812</v>
      </c>
      <c r="B351" s="55" t="s">
        <v>315</v>
      </c>
      <c r="C351" s="65" t="s">
        <v>84</v>
      </c>
      <c r="D351" s="61" t="s">
        <v>68</v>
      </c>
      <c r="E351" s="61" t="s">
        <v>494</v>
      </c>
      <c r="F351" s="62"/>
      <c r="G351" s="62"/>
      <c r="H351" s="77"/>
      <c r="I351" s="62"/>
      <c r="J351" s="52"/>
    </row>
    <row r="352" spans="1:10" ht="26.4" customHeight="1" x14ac:dyDescent="0.3">
      <c r="A352" s="59">
        <v>45817</v>
      </c>
      <c r="B352" s="55" t="s">
        <v>316</v>
      </c>
      <c r="C352" s="65" t="s">
        <v>105</v>
      </c>
      <c r="D352" s="61" t="s">
        <v>68</v>
      </c>
      <c r="E352" s="61" t="s">
        <v>649</v>
      </c>
      <c r="F352" s="62"/>
      <c r="G352" s="62"/>
      <c r="H352" s="77"/>
      <c r="I352" s="62"/>
      <c r="J352" s="52"/>
    </row>
    <row r="353" spans="1:10" ht="26.4" customHeight="1" x14ac:dyDescent="0.3">
      <c r="A353" s="59">
        <v>45684</v>
      </c>
      <c r="B353" s="70" t="s">
        <v>184</v>
      </c>
      <c r="C353" s="65"/>
      <c r="D353" s="61"/>
      <c r="E353" s="61" t="s">
        <v>488</v>
      </c>
      <c r="F353" s="62"/>
      <c r="G353" s="62"/>
      <c r="H353" s="52" t="s">
        <v>154</v>
      </c>
      <c r="I353" s="64" t="s">
        <v>747</v>
      </c>
      <c r="J353" s="63" t="s">
        <v>188</v>
      </c>
    </row>
    <row r="354" spans="1:10" ht="26.4" customHeight="1" x14ac:dyDescent="0.3">
      <c r="A354" s="59">
        <v>45761</v>
      </c>
      <c r="B354" s="55" t="s">
        <v>317</v>
      </c>
      <c r="C354" s="65" t="s">
        <v>269</v>
      </c>
      <c r="D354" s="61" t="s">
        <v>149</v>
      </c>
      <c r="E354" s="61" t="s">
        <v>488</v>
      </c>
      <c r="F354" s="62">
        <v>7775</v>
      </c>
      <c r="G354" s="62"/>
      <c r="H354" s="52" t="s">
        <v>154</v>
      </c>
      <c r="I354" s="64" t="s">
        <v>747</v>
      </c>
      <c r="J354" s="63" t="s">
        <v>188</v>
      </c>
    </row>
    <row r="355" spans="1:10" ht="26.4" customHeight="1" x14ac:dyDescent="0.3">
      <c r="A355" s="59">
        <v>45785</v>
      </c>
      <c r="B355" s="67"/>
      <c r="C355" s="65" t="s">
        <v>30</v>
      </c>
      <c r="D355" s="61" t="s">
        <v>67</v>
      </c>
      <c r="E355" s="61" t="s">
        <v>488</v>
      </c>
      <c r="F355" s="62">
        <v>38090</v>
      </c>
      <c r="G355" s="62"/>
      <c r="H355" s="52" t="s">
        <v>154</v>
      </c>
      <c r="I355" s="64" t="s">
        <v>747</v>
      </c>
      <c r="J355" s="63" t="s">
        <v>188</v>
      </c>
    </row>
    <row r="356" spans="1:10" ht="26.4" customHeight="1" x14ac:dyDescent="0.3">
      <c r="A356" s="59">
        <v>45785</v>
      </c>
      <c r="B356" s="67"/>
      <c r="C356" s="65" t="s">
        <v>30</v>
      </c>
      <c r="D356" s="61" t="s">
        <v>67</v>
      </c>
      <c r="E356" s="61" t="s">
        <v>488</v>
      </c>
      <c r="F356" s="62">
        <v>3</v>
      </c>
      <c r="G356" s="62"/>
      <c r="H356" s="52" t="s">
        <v>154</v>
      </c>
      <c r="I356" s="64" t="s">
        <v>747</v>
      </c>
      <c r="J356" s="63" t="s">
        <v>188</v>
      </c>
    </row>
    <row r="357" spans="1:10" ht="26.4" customHeight="1" x14ac:dyDescent="0.3">
      <c r="A357" s="59">
        <v>45789</v>
      </c>
      <c r="B357" s="55" t="s">
        <v>293</v>
      </c>
      <c r="C357" s="65" t="s">
        <v>64</v>
      </c>
      <c r="D357" s="61" t="s">
        <v>67</v>
      </c>
      <c r="E357" s="61" t="s">
        <v>488</v>
      </c>
      <c r="F357" s="62">
        <v>1</v>
      </c>
      <c r="G357" s="62"/>
      <c r="H357" s="52" t="s">
        <v>154</v>
      </c>
      <c r="I357" s="64" t="s">
        <v>747</v>
      </c>
      <c r="J357" s="63" t="s">
        <v>188</v>
      </c>
    </row>
    <row r="358" spans="1:10" ht="26.4" customHeight="1" x14ac:dyDescent="0.3">
      <c r="A358" s="59">
        <v>45832</v>
      </c>
      <c r="B358" s="55" t="s">
        <v>320</v>
      </c>
      <c r="C358" s="65" t="s">
        <v>48</v>
      </c>
      <c r="D358" s="61" t="s">
        <v>67</v>
      </c>
      <c r="E358" s="61" t="s">
        <v>541</v>
      </c>
      <c r="F358" s="62">
        <v>0</v>
      </c>
      <c r="G358" s="62"/>
      <c r="H358" s="63" t="s">
        <v>745</v>
      </c>
      <c r="I358" s="62"/>
      <c r="J358" s="52" t="s">
        <v>744</v>
      </c>
    </row>
    <row r="359" spans="1:10" ht="26.4" customHeight="1" x14ac:dyDescent="0.3">
      <c r="A359" s="59">
        <v>45684</v>
      </c>
      <c r="B359" s="70" t="s">
        <v>184</v>
      </c>
      <c r="C359" s="65" t="s">
        <v>111</v>
      </c>
      <c r="D359" s="61" t="s">
        <v>67</v>
      </c>
      <c r="E359" s="61" t="s">
        <v>488</v>
      </c>
      <c r="F359" s="62">
        <v>2266.75</v>
      </c>
      <c r="G359" s="62"/>
      <c r="H359" s="52" t="s">
        <v>154</v>
      </c>
      <c r="I359" s="64" t="s">
        <v>747</v>
      </c>
      <c r="J359" s="63" t="s">
        <v>188</v>
      </c>
    </row>
    <row r="360" spans="1:10" ht="26.4" customHeight="1" x14ac:dyDescent="0.3">
      <c r="A360" s="59">
        <v>45827</v>
      </c>
      <c r="B360" s="55" t="s">
        <v>321</v>
      </c>
      <c r="C360" s="65" t="s">
        <v>163</v>
      </c>
      <c r="D360" s="61" t="s">
        <v>67</v>
      </c>
      <c r="E360" s="61" t="s">
        <v>650</v>
      </c>
      <c r="F360" s="62">
        <v>0</v>
      </c>
      <c r="G360" s="62"/>
      <c r="H360" s="63" t="s">
        <v>745</v>
      </c>
      <c r="I360" s="62"/>
      <c r="J360" s="52" t="s">
        <v>744</v>
      </c>
    </row>
    <row r="361" spans="1:10" ht="26.4" customHeight="1" x14ac:dyDescent="0.3">
      <c r="A361" s="59">
        <v>45824</v>
      </c>
      <c r="B361" s="55" t="s">
        <v>322</v>
      </c>
      <c r="C361" s="65" t="s">
        <v>73</v>
      </c>
      <c r="D361" s="61" t="s">
        <v>67</v>
      </c>
      <c r="E361" s="61" t="s">
        <v>651</v>
      </c>
      <c r="F361" s="62">
        <v>0</v>
      </c>
      <c r="G361" s="62"/>
      <c r="H361" s="63" t="s">
        <v>745</v>
      </c>
      <c r="I361" s="62"/>
      <c r="J361" s="52" t="s">
        <v>744</v>
      </c>
    </row>
    <row r="362" spans="1:10" ht="26.4" customHeight="1" x14ac:dyDescent="0.3">
      <c r="A362" s="59">
        <v>45833</v>
      </c>
      <c r="B362" s="55" t="s">
        <v>323</v>
      </c>
      <c r="C362" s="65" t="s">
        <v>96</v>
      </c>
      <c r="D362" s="61" t="s">
        <v>295</v>
      </c>
      <c r="E362" s="61" t="s">
        <v>652</v>
      </c>
      <c r="F362" s="62">
        <v>0</v>
      </c>
      <c r="G362" s="62"/>
      <c r="H362" s="63" t="s">
        <v>745</v>
      </c>
      <c r="I362" s="62"/>
      <c r="J362" s="52" t="s">
        <v>744</v>
      </c>
    </row>
    <row r="363" spans="1:10" ht="26.4" customHeight="1" x14ac:dyDescent="0.3">
      <c r="A363" s="59">
        <v>45826</v>
      </c>
      <c r="B363" s="55" t="s">
        <v>325</v>
      </c>
      <c r="C363" s="65" t="s">
        <v>324</v>
      </c>
      <c r="D363" s="61" t="s">
        <v>67</v>
      </c>
      <c r="E363" s="61" t="s">
        <v>653</v>
      </c>
      <c r="F363" s="62">
        <v>0</v>
      </c>
      <c r="G363" s="62"/>
      <c r="H363" s="63" t="s">
        <v>745</v>
      </c>
      <c r="I363" s="62"/>
      <c r="J363" s="52" t="s">
        <v>744</v>
      </c>
    </row>
    <row r="364" spans="1:10" ht="26.4" customHeight="1" x14ac:dyDescent="0.3">
      <c r="A364" s="59">
        <v>45826</v>
      </c>
      <c r="B364" s="55" t="s">
        <v>326</v>
      </c>
      <c r="C364" s="65" t="s">
        <v>324</v>
      </c>
      <c r="D364" s="61" t="s">
        <v>67</v>
      </c>
      <c r="E364" s="61" t="s">
        <v>654</v>
      </c>
      <c r="F364" s="62">
        <v>0</v>
      </c>
      <c r="G364" s="62"/>
      <c r="H364" s="63" t="s">
        <v>745</v>
      </c>
      <c r="I364" s="62"/>
      <c r="J364" s="52" t="s">
        <v>744</v>
      </c>
    </row>
    <row r="365" spans="1:10" ht="26.4" customHeight="1" x14ac:dyDescent="0.3">
      <c r="A365" s="59">
        <v>45826</v>
      </c>
      <c r="B365" s="70" t="s">
        <v>327</v>
      </c>
      <c r="C365" s="65" t="s">
        <v>324</v>
      </c>
      <c r="D365" s="61" t="s">
        <v>67</v>
      </c>
      <c r="E365" s="61" t="s">
        <v>655</v>
      </c>
      <c r="F365" s="62">
        <v>0</v>
      </c>
      <c r="G365" s="62"/>
      <c r="H365" s="63" t="s">
        <v>745</v>
      </c>
      <c r="I365" s="62"/>
      <c r="J365" s="52" t="s">
        <v>744</v>
      </c>
    </row>
    <row r="366" spans="1:10" ht="26.4" customHeight="1" x14ac:dyDescent="0.3">
      <c r="A366" s="59">
        <v>45826</v>
      </c>
      <c r="C366" s="65" t="s">
        <v>324</v>
      </c>
      <c r="D366" s="61" t="s">
        <v>67</v>
      </c>
      <c r="E366" s="61" t="s">
        <v>488</v>
      </c>
      <c r="F366" s="62">
        <v>6520</v>
      </c>
      <c r="G366" s="62"/>
      <c r="H366" s="52" t="s">
        <v>154</v>
      </c>
      <c r="I366" s="64" t="s">
        <v>747</v>
      </c>
      <c r="J366" s="63" t="s">
        <v>188</v>
      </c>
    </row>
    <row r="367" spans="1:10" ht="26.4" customHeight="1" x14ac:dyDescent="0.3">
      <c r="A367" s="59">
        <v>45825</v>
      </c>
      <c r="B367" s="55" t="s">
        <v>328</v>
      </c>
      <c r="C367" s="65" t="s">
        <v>145</v>
      </c>
      <c r="D367" s="61" t="s">
        <v>68</v>
      </c>
      <c r="E367" s="61" t="s">
        <v>656</v>
      </c>
      <c r="F367" s="62">
        <v>0</v>
      </c>
      <c r="G367" s="62"/>
      <c r="H367" s="63" t="s">
        <v>745</v>
      </c>
      <c r="I367" s="62"/>
      <c r="J367" s="52" t="s">
        <v>744</v>
      </c>
    </row>
    <row r="368" spans="1:10" ht="26.4" customHeight="1" x14ac:dyDescent="0.3">
      <c r="A368" s="59">
        <v>45834</v>
      </c>
      <c r="B368" s="67" t="s">
        <v>329</v>
      </c>
      <c r="C368" s="65" t="s">
        <v>145</v>
      </c>
      <c r="D368" s="61" t="s">
        <v>68</v>
      </c>
      <c r="E368" s="61" t="s">
        <v>488</v>
      </c>
      <c r="F368" s="62">
        <v>5113.5</v>
      </c>
      <c r="G368" s="62"/>
      <c r="H368" s="52" t="s">
        <v>154</v>
      </c>
      <c r="I368" s="64" t="s">
        <v>747</v>
      </c>
      <c r="J368" s="63" t="s">
        <v>188</v>
      </c>
    </row>
    <row r="369" spans="1:10" ht="26.4" customHeight="1" x14ac:dyDescent="0.3">
      <c r="A369" s="59">
        <v>45831</v>
      </c>
      <c r="B369" s="55" t="s">
        <v>330</v>
      </c>
      <c r="C369" s="65" t="s">
        <v>105</v>
      </c>
      <c r="D369" s="61" t="s">
        <v>68</v>
      </c>
      <c r="E369" s="61" t="s">
        <v>657</v>
      </c>
      <c r="F369" s="62"/>
      <c r="G369" s="62"/>
      <c r="H369" s="77"/>
      <c r="I369" s="62"/>
      <c r="J369" s="52"/>
    </row>
    <row r="370" spans="1:10" ht="26.4" customHeight="1" x14ac:dyDescent="0.3">
      <c r="A370" s="59">
        <v>45834</v>
      </c>
      <c r="B370" s="55" t="s">
        <v>330</v>
      </c>
      <c r="C370" s="65" t="s">
        <v>105</v>
      </c>
      <c r="D370" s="61" t="s">
        <v>68</v>
      </c>
      <c r="E370" s="61" t="s">
        <v>488</v>
      </c>
      <c r="F370" s="62">
        <v>2500</v>
      </c>
      <c r="G370" s="62"/>
      <c r="H370" s="52" t="s">
        <v>154</v>
      </c>
      <c r="I370" s="64" t="s">
        <v>747</v>
      </c>
      <c r="J370" s="63" t="s">
        <v>188</v>
      </c>
    </row>
    <row r="371" spans="1:10" ht="26.4" customHeight="1" x14ac:dyDescent="0.3">
      <c r="A371" s="59">
        <v>45833</v>
      </c>
      <c r="B371" s="67"/>
      <c r="C371" s="65" t="s">
        <v>37</v>
      </c>
      <c r="D371" s="61" t="s">
        <v>68</v>
      </c>
      <c r="E371" s="61" t="s">
        <v>488</v>
      </c>
      <c r="F371" s="62">
        <v>5917</v>
      </c>
      <c r="G371" s="62"/>
      <c r="H371" s="52" t="s">
        <v>154</v>
      </c>
      <c r="I371" s="64" t="s">
        <v>747</v>
      </c>
      <c r="J371" s="63" t="s">
        <v>188</v>
      </c>
    </row>
    <row r="372" spans="1:10" ht="26.4" customHeight="1" x14ac:dyDescent="0.3">
      <c r="A372" s="59">
        <v>45834</v>
      </c>
      <c r="B372" s="55" t="s">
        <v>331</v>
      </c>
      <c r="C372" s="65" t="s">
        <v>177</v>
      </c>
      <c r="D372" s="61" t="s">
        <v>67</v>
      </c>
      <c r="E372" s="61" t="s">
        <v>658</v>
      </c>
      <c r="F372" s="62">
        <v>0</v>
      </c>
      <c r="G372" s="62"/>
      <c r="H372" s="63" t="s">
        <v>745</v>
      </c>
      <c r="I372" s="62"/>
      <c r="J372" s="52" t="s">
        <v>744</v>
      </c>
    </row>
    <row r="373" spans="1:10" ht="26.4" customHeight="1" x14ac:dyDescent="0.3">
      <c r="A373" s="59">
        <v>45834</v>
      </c>
      <c r="B373" s="55" t="s">
        <v>331</v>
      </c>
      <c r="C373" s="65" t="s">
        <v>177</v>
      </c>
      <c r="D373" s="61" t="s">
        <v>67</v>
      </c>
      <c r="E373" s="61" t="s">
        <v>488</v>
      </c>
      <c r="F373" s="62">
        <v>4600</v>
      </c>
      <c r="G373" s="62"/>
      <c r="H373" s="52" t="s">
        <v>154</v>
      </c>
      <c r="I373" s="64" t="s">
        <v>747</v>
      </c>
      <c r="J373" s="63" t="s">
        <v>188</v>
      </c>
    </row>
    <row r="374" spans="1:10" ht="26.4" customHeight="1" x14ac:dyDescent="0.3">
      <c r="A374" s="59">
        <v>45834</v>
      </c>
      <c r="B374" s="55" t="s">
        <v>331</v>
      </c>
      <c r="C374" s="65" t="s">
        <v>177</v>
      </c>
      <c r="D374" s="61" t="s">
        <v>67</v>
      </c>
      <c r="E374" s="61" t="s">
        <v>488</v>
      </c>
      <c r="F374" s="62">
        <v>125</v>
      </c>
      <c r="G374" s="62"/>
      <c r="H374" s="52" t="s">
        <v>154</v>
      </c>
      <c r="I374" s="64" t="s">
        <v>747</v>
      </c>
      <c r="J374" s="63" t="s">
        <v>188</v>
      </c>
    </row>
    <row r="375" spans="1:10" ht="26.4" customHeight="1" x14ac:dyDescent="0.3">
      <c r="A375" s="59">
        <v>45834</v>
      </c>
      <c r="B375" s="67"/>
      <c r="C375" s="65" t="s">
        <v>177</v>
      </c>
      <c r="D375" s="61" t="s">
        <v>67</v>
      </c>
      <c r="E375" s="61" t="s">
        <v>488</v>
      </c>
      <c r="F375" s="62">
        <v>200</v>
      </c>
      <c r="G375" s="62"/>
      <c r="H375" s="52" t="s">
        <v>154</v>
      </c>
      <c r="I375" s="64" t="s">
        <v>747</v>
      </c>
      <c r="J375" s="63" t="s">
        <v>188</v>
      </c>
    </row>
    <row r="376" spans="1:10" ht="26.4" customHeight="1" x14ac:dyDescent="0.3">
      <c r="A376" s="59">
        <v>45834</v>
      </c>
      <c r="B376" s="55" t="s">
        <v>332</v>
      </c>
      <c r="C376" s="65" t="s">
        <v>100</v>
      </c>
      <c r="D376" s="61" t="s">
        <v>67</v>
      </c>
      <c r="E376" s="61" t="s">
        <v>659</v>
      </c>
      <c r="F376" s="62">
        <v>0</v>
      </c>
      <c r="G376" s="62"/>
      <c r="H376" s="63" t="s">
        <v>745</v>
      </c>
      <c r="I376" s="62"/>
      <c r="J376" s="52" t="s">
        <v>744</v>
      </c>
    </row>
    <row r="377" spans="1:10" ht="26.4" customHeight="1" x14ac:dyDescent="0.3">
      <c r="A377" s="59">
        <v>45834</v>
      </c>
      <c r="B377" s="55" t="s">
        <v>332</v>
      </c>
      <c r="C377" s="65" t="s">
        <v>100</v>
      </c>
      <c r="D377" s="61" t="s">
        <v>67</v>
      </c>
      <c r="E377" s="61" t="s">
        <v>488</v>
      </c>
      <c r="F377" s="62">
        <v>892</v>
      </c>
      <c r="G377" s="62"/>
      <c r="H377" s="52" t="s">
        <v>154</v>
      </c>
      <c r="I377" s="64" t="s">
        <v>747</v>
      </c>
      <c r="J377" s="63" t="s">
        <v>188</v>
      </c>
    </row>
    <row r="378" spans="1:10" ht="26.4" customHeight="1" x14ac:dyDescent="0.3">
      <c r="A378" s="59">
        <v>45836</v>
      </c>
      <c r="B378" s="67"/>
      <c r="C378" s="65" t="s">
        <v>64</v>
      </c>
      <c r="D378" s="61" t="s">
        <v>67</v>
      </c>
      <c r="E378" s="61" t="s">
        <v>488</v>
      </c>
      <c r="F378" s="62">
        <v>4330</v>
      </c>
      <c r="G378" s="62"/>
      <c r="H378" s="52" t="s">
        <v>154</v>
      </c>
      <c r="I378" s="64" t="s">
        <v>747</v>
      </c>
      <c r="J378" s="63" t="s">
        <v>188</v>
      </c>
    </row>
    <row r="379" spans="1:10" ht="26.4" customHeight="1" x14ac:dyDescent="0.3">
      <c r="A379" s="59">
        <v>45836</v>
      </c>
      <c r="B379" s="67"/>
      <c r="C379" s="65" t="s">
        <v>64</v>
      </c>
      <c r="D379" s="61" t="s">
        <v>67</v>
      </c>
      <c r="E379" s="61" t="s">
        <v>488</v>
      </c>
      <c r="F379" s="62">
        <v>53</v>
      </c>
      <c r="G379" s="62"/>
      <c r="H379" s="52" t="s">
        <v>154</v>
      </c>
      <c r="I379" s="64" t="s">
        <v>747</v>
      </c>
      <c r="J379" s="63" t="s">
        <v>188</v>
      </c>
    </row>
    <row r="380" spans="1:10" ht="26.4" customHeight="1" x14ac:dyDescent="0.3">
      <c r="A380" s="59">
        <v>45836</v>
      </c>
      <c r="B380" s="67"/>
      <c r="C380" s="65" t="s">
        <v>12</v>
      </c>
      <c r="D380" s="61" t="s">
        <v>67</v>
      </c>
      <c r="E380" s="61" t="s">
        <v>488</v>
      </c>
      <c r="F380" s="62">
        <v>10092</v>
      </c>
      <c r="G380" s="62"/>
      <c r="H380" s="52" t="s">
        <v>154</v>
      </c>
      <c r="I380" s="64" t="s">
        <v>747</v>
      </c>
      <c r="J380" s="63" t="s">
        <v>188</v>
      </c>
    </row>
    <row r="381" spans="1:10" ht="26.4" customHeight="1" x14ac:dyDescent="0.3">
      <c r="A381" s="59">
        <v>45834</v>
      </c>
      <c r="B381" s="55" t="s">
        <v>330</v>
      </c>
      <c r="C381" s="65" t="s">
        <v>105</v>
      </c>
      <c r="D381" s="61" t="s">
        <v>68</v>
      </c>
      <c r="E381" s="61" t="s">
        <v>488</v>
      </c>
      <c r="F381" s="62">
        <v>300</v>
      </c>
      <c r="G381" s="62"/>
      <c r="H381" s="52" t="s">
        <v>154</v>
      </c>
      <c r="I381" s="64" t="s">
        <v>747</v>
      </c>
      <c r="J381" s="63" t="s">
        <v>188</v>
      </c>
    </row>
    <row r="382" spans="1:10" ht="26.4" customHeight="1" x14ac:dyDescent="0.3">
      <c r="A382" s="59">
        <v>45838</v>
      </c>
      <c r="B382" s="67"/>
      <c r="C382" s="65" t="s">
        <v>105</v>
      </c>
      <c r="D382" s="61" t="s">
        <v>68</v>
      </c>
      <c r="E382" s="61" t="s">
        <v>488</v>
      </c>
      <c r="F382" s="62">
        <v>16297.5</v>
      </c>
      <c r="G382" s="62"/>
      <c r="H382" s="52" t="s">
        <v>154</v>
      </c>
      <c r="I382" s="64" t="s">
        <v>747</v>
      </c>
      <c r="J382" s="63" t="s">
        <v>188</v>
      </c>
    </row>
    <row r="383" spans="1:10" ht="26.4" customHeight="1" x14ac:dyDescent="0.3">
      <c r="A383" s="59">
        <v>45838</v>
      </c>
      <c r="B383" s="67"/>
      <c r="C383" s="65" t="s">
        <v>98</v>
      </c>
      <c r="D383" s="61" t="s">
        <v>67</v>
      </c>
      <c r="E383" s="61" t="s">
        <v>488</v>
      </c>
      <c r="F383" s="62">
        <v>-11000</v>
      </c>
      <c r="G383" s="62"/>
      <c r="H383" s="52" t="s">
        <v>154</v>
      </c>
      <c r="I383" s="64" t="s">
        <v>747</v>
      </c>
      <c r="J383" s="63" t="s">
        <v>188</v>
      </c>
    </row>
    <row r="384" spans="1:10" ht="26.4" customHeight="1" x14ac:dyDescent="0.3">
      <c r="A384" s="59">
        <v>45812</v>
      </c>
      <c r="B384" s="55" t="s">
        <v>315</v>
      </c>
      <c r="C384" s="65" t="s">
        <v>84</v>
      </c>
      <c r="D384" s="61" t="s">
        <v>68</v>
      </c>
      <c r="E384" s="61" t="s">
        <v>488</v>
      </c>
      <c r="F384" s="62">
        <v>25200</v>
      </c>
      <c r="G384" s="62"/>
      <c r="H384" s="52" t="s">
        <v>154</v>
      </c>
      <c r="I384" s="64" t="s">
        <v>747</v>
      </c>
      <c r="J384" s="63" t="s">
        <v>188</v>
      </c>
    </row>
    <row r="385" spans="1:10" ht="26.4" customHeight="1" x14ac:dyDescent="0.3">
      <c r="A385" s="59">
        <v>45841</v>
      </c>
      <c r="B385" s="67"/>
      <c r="C385" s="65" t="s">
        <v>98</v>
      </c>
      <c r="D385" s="61" t="s">
        <v>67</v>
      </c>
      <c r="E385" s="61" t="s">
        <v>488</v>
      </c>
      <c r="F385" s="62">
        <v>5194</v>
      </c>
      <c r="G385" s="62"/>
      <c r="H385" s="52" t="s">
        <v>154</v>
      </c>
      <c r="I385" s="64" t="s">
        <v>747</v>
      </c>
      <c r="J385" s="63" t="s">
        <v>188</v>
      </c>
    </row>
    <row r="386" spans="1:10" ht="26.4" customHeight="1" x14ac:dyDescent="0.3">
      <c r="A386" s="59">
        <v>45833</v>
      </c>
      <c r="B386" s="55" t="s">
        <v>323</v>
      </c>
      <c r="C386" s="65" t="s">
        <v>96</v>
      </c>
      <c r="D386" s="61" t="s">
        <v>295</v>
      </c>
      <c r="E386" s="61" t="s">
        <v>488</v>
      </c>
      <c r="F386" s="62">
        <v>3256</v>
      </c>
      <c r="G386" s="62"/>
      <c r="H386" s="52" t="s">
        <v>154</v>
      </c>
      <c r="I386" s="64" t="s">
        <v>747</v>
      </c>
      <c r="J386" s="63" t="s">
        <v>188</v>
      </c>
    </row>
    <row r="387" spans="1:10" ht="26.4" customHeight="1" x14ac:dyDescent="0.3">
      <c r="A387" s="59">
        <v>45838</v>
      </c>
      <c r="B387" s="55" t="s">
        <v>333</v>
      </c>
      <c r="C387" s="65" t="s">
        <v>105</v>
      </c>
      <c r="D387" s="61" t="s">
        <v>68</v>
      </c>
      <c r="E387" s="61" t="s">
        <v>660</v>
      </c>
      <c r="F387" s="62"/>
      <c r="G387" s="62"/>
      <c r="H387" s="77"/>
      <c r="I387" s="62"/>
      <c r="J387" s="52"/>
    </row>
    <row r="388" spans="1:10" ht="26.4" customHeight="1" x14ac:dyDescent="0.3">
      <c r="A388" s="59">
        <v>45841</v>
      </c>
      <c r="B388" s="55" t="s">
        <v>334</v>
      </c>
      <c r="C388" s="65" t="s">
        <v>335</v>
      </c>
      <c r="D388" s="61" t="s">
        <v>67</v>
      </c>
      <c r="E388" s="61" t="s">
        <v>661</v>
      </c>
      <c r="F388" s="62"/>
      <c r="G388" s="62"/>
      <c r="H388" s="77"/>
      <c r="I388" s="62"/>
      <c r="J388" s="52"/>
    </row>
    <row r="389" spans="1:10" ht="26.4" customHeight="1" x14ac:dyDescent="0.3">
      <c r="A389" s="59">
        <v>45841</v>
      </c>
      <c r="B389" s="55" t="s">
        <v>336</v>
      </c>
      <c r="C389" s="65" t="s">
        <v>335</v>
      </c>
      <c r="D389" s="61" t="s">
        <v>67</v>
      </c>
      <c r="E389" s="61" t="s">
        <v>662</v>
      </c>
      <c r="F389" s="62"/>
      <c r="G389" s="62"/>
      <c r="H389" s="77"/>
      <c r="I389" s="62"/>
      <c r="J389" s="52"/>
    </row>
    <row r="390" spans="1:10" ht="26.4" customHeight="1" x14ac:dyDescent="0.3">
      <c r="A390" s="59">
        <v>45841</v>
      </c>
      <c r="B390" s="55" t="s">
        <v>337</v>
      </c>
      <c r="C390" s="65" t="s">
        <v>335</v>
      </c>
      <c r="D390" s="61" t="s">
        <v>67</v>
      </c>
      <c r="E390" s="61" t="s">
        <v>663</v>
      </c>
      <c r="F390" s="62"/>
      <c r="G390" s="62"/>
      <c r="H390" s="77"/>
      <c r="I390" s="62"/>
      <c r="J390" s="52"/>
    </row>
    <row r="391" spans="1:10" ht="26.4" customHeight="1" x14ac:dyDescent="0.3">
      <c r="A391" s="59">
        <v>45841</v>
      </c>
      <c r="B391" s="55" t="s">
        <v>338</v>
      </c>
      <c r="C391" s="65" t="s">
        <v>40</v>
      </c>
      <c r="D391" s="61" t="s">
        <v>67</v>
      </c>
      <c r="E391" s="61" t="s">
        <v>664</v>
      </c>
      <c r="F391" s="62">
        <v>0</v>
      </c>
      <c r="G391" s="62"/>
      <c r="H391" s="63" t="s">
        <v>745</v>
      </c>
      <c r="I391" s="62"/>
      <c r="J391" s="52" t="s">
        <v>744</v>
      </c>
    </row>
    <row r="392" spans="1:10" ht="26.4" customHeight="1" x14ac:dyDescent="0.3">
      <c r="A392" s="59">
        <v>45845</v>
      </c>
      <c r="B392" s="55" t="s">
        <v>339</v>
      </c>
      <c r="C392" s="65" t="s">
        <v>359</v>
      </c>
      <c r="D392" s="61" t="s">
        <v>67</v>
      </c>
      <c r="E392" s="61" t="s">
        <v>665</v>
      </c>
      <c r="F392" s="62"/>
      <c r="G392" s="62"/>
      <c r="H392" s="77"/>
      <c r="I392" s="62"/>
      <c r="J392" s="52"/>
    </row>
    <row r="393" spans="1:10" ht="26.4" customHeight="1" x14ac:dyDescent="0.3">
      <c r="A393" s="59">
        <v>45845</v>
      </c>
      <c r="B393" s="70" t="s">
        <v>404</v>
      </c>
      <c r="C393" s="65" t="s">
        <v>359</v>
      </c>
      <c r="D393" s="61" t="s">
        <v>67</v>
      </c>
      <c r="E393" s="61" t="s">
        <v>666</v>
      </c>
      <c r="F393" s="62"/>
      <c r="G393" s="62"/>
      <c r="H393" s="77"/>
      <c r="I393" s="62"/>
      <c r="J393" s="52"/>
    </row>
    <row r="394" spans="1:10" ht="26.4" customHeight="1" x14ac:dyDescent="0.3">
      <c r="A394" s="59">
        <v>45847</v>
      </c>
      <c r="B394" s="70" t="s">
        <v>403</v>
      </c>
      <c r="C394" s="65" t="s">
        <v>359</v>
      </c>
      <c r="D394" s="61" t="s">
        <v>67</v>
      </c>
      <c r="E394" s="61" t="s">
        <v>667</v>
      </c>
      <c r="F394" s="62"/>
      <c r="G394" s="62"/>
      <c r="H394" s="77"/>
      <c r="I394" s="62"/>
      <c r="J394" s="52"/>
    </row>
    <row r="395" spans="1:10" ht="26.4" customHeight="1" x14ac:dyDescent="0.3">
      <c r="A395" s="59">
        <v>45845</v>
      </c>
      <c r="B395" s="67"/>
      <c r="C395" s="65" t="s">
        <v>359</v>
      </c>
      <c r="D395" s="61" t="s">
        <v>67</v>
      </c>
      <c r="E395" s="61" t="s">
        <v>488</v>
      </c>
      <c r="F395" s="62">
        <v>18700</v>
      </c>
      <c r="G395" s="62"/>
      <c r="H395" s="52" t="s">
        <v>154</v>
      </c>
      <c r="I395" s="64" t="s">
        <v>747</v>
      </c>
      <c r="J395" s="63" t="s">
        <v>188</v>
      </c>
    </row>
    <row r="396" spans="1:10" ht="26.4" customHeight="1" x14ac:dyDescent="0.3">
      <c r="A396" s="59">
        <v>45852</v>
      </c>
      <c r="B396" s="55" t="s">
        <v>341</v>
      </c>
      <c r="C396" s="65" t="s">
        <v>342</v>
      </c>
      <c r="D396" s="61" t="s">
        <v>67</v>
      </c>
      <c r="E396" s="61" t="s">
        <v>491</v>
      </c>
      <c r="F396" s="62"/>
      <c r="G396" s="62"/>
      <c r="H396" s="77"/>
      <c r="I396" s="62"/>
      <c r="J396" s="52"/>
    </row>
    <row r="397" spans="1:10" ht="26.4" customHeight="1" x14ac:dyDescent="0.3">
      <c r="A397" s="59">
        <v>45833</v>
      </c>
      <c r="B397" s="70" t="s">
        <v>343</v>
      </c>
      <c r="C397" s="65" t="s">
        <v>272</v>
      </c>
      <c r="D397" s="61" t="s">
        <v>67</v>
      </c>
      <c r="E397" s="61" t="s">
        <v>668</v>
      </c>
      <c r="F397" s="62"/>
      <c r="G397" s="62"/>
      <c r="H397" s="77"/>
      <c r="I397" s="62"/>
      <c r="J397" s="52"/>
    </row>
    <row r="398" spans="1:10" ht="26.4" customHeight="1" x14ac:dyDescent="0.3">
      <c r="A398" s="59">
        <v>45855</v>
      </c>
      <c r="B398" s="65" t="s">
        <v>344</v>
      </c>
      <c r="C398" s="65" t="s">
        <v>272</v>
      </c>
      <c r="D398" s="61" t="s">
        <v>67</v>
      </c>
      <c r="E398" s="61" t="s">
        <v>488</v>
      </c>
      <c r="F398" s="62">
        <v>2070</v>
      </c>
      <c r="G398" s="62"/>
      <c r="H398" s="52" t="s">
        <v>154</v>
      </c>
      <c r="I398" s="64" t="s">
        <v>747</v>
      </c>
      <c r="J398" s="63" t="s">
        <v>188</v>
      </c>
    </row>
    <row r="399" spans="1:10" ht="26.4" customHeight="1" x14ac:dyDescent="0.3">
      <c r="A399" s="59">
        <v>45835</v>
      </c>
      <c r="B399" s="55" t="s">
        <v>345</v>
      </c>
      <c r="C399" s="65" t="s">
        <v>34</v>
      </c>
      <c r="D399" s="61" t="s">
        <v>67</v>
      </c>
      <c r="E399" s="61" t="s">
        <v>604</v>
      </c>
      <c r="F399" s="62">
        <v>0</v>
      </c>
      <c r="G399" s="62"/>
      <c r="H399" s="63" t="s">
        <v>745</v>
      </c>
      <c r="I399" s="62"/>
      <c r="J399" s="52" t="s">
        <v>744</v>
      </c>
    </row>
    <row r="400" spans="1:10" ht="26.4" customHeight="1" x14ac:dyDescent="0.3">
      <c r="A400" s="59">
        <v>45847</v>
      </c>
      <c r="B400" s="55" t="s">
        <v>346</v>
      </c>
      <c r="C400" s="65" t="s">
        <v>347</v>
      </c>
      <c r="D400" s="61" t="s">
        <v>67</v>
      </c>
      <c r="E400" s="61" t="s">
        <v>669</v>
      </c>
      <c r="F400" s="62"/>
      <c r="G400" s="62"/>
      <c r="H400" s="77"/>
      <c r="I400" s="62"/>
      <c r="J400" s="52"/>
    </row>
    <row r="401" spans="1:10" ht="26.4" customHeight="1" x14ac:dyDescent="0.3">
      <c r="A401" s="59">
        <v>45848</v>
      </c>
      <c r="B401" s="55" t="s">
        <v>348</v>
      </c>
      <c r="C401" s="65" t="s">
        <v>195</v>
      </c>
      <c r="D401" s="61" t="s">
        <v>67</v>
      </c>
      <c r="E401" s="61" t="s">
        <v>630</v>
      </c>
      <c r="F401" s="62"/>
      <c r="G401" s="62"/>
      <c r="H401" s="77"/>
      <c r="I401" s="62"/>
      <c r="J401" s="52"/>
    </row>
    <row r="402" spans="1:10" ht="26.4" customHeight="1" x14ac:dyDescent="0.3">
      <c r="A402" s="59">
        <v>45852</v>
      </c>
      <c r="B402" s="55" t="s">
        <v>349</v>
      </c>
      <c r="C402" s="65" t="s">
        <v>105</v>
      </c>
      <c r="D402" s="61" t="s">
        <v>68</v>
      </c>
      <c r="E402" s="61" t="s">
        <v>670</v>
      </c>
      <c r="F402" s="62"/>
      <c r="G402" s="62"/>
      <c r="H402" s="77"/>
      <c r="I402" s="62"/>
      <c r="J402" s="52"/>
    </row>
    <row r="403" spans="1:10" ht="26.4" customHeight="1" x14ac:dyDescent="0.3">
      <c r="A403" s="59">
        <v>45855</v>
      </c>
      <c r="B403" s="55" t="s">
        <v>350</v>
      </c>
      <c r="C403" s="65" t="s">
        <v>37</v>
      </c>
      <c r="D403" s="61" t="s">
        <v>68</v>
      </c>
      <c r="E403" s="61" t="s">
        <v>648</v>
      </c>
      <c r="F403" s="62">
        <v>0</v>
      </c>
      <c r="G403" s="62"/>
      <c r="H403" s="63" t="s">
        <v>745</v>
      </c>
      <c r="I403" s="62"/>
      <c r="J403" s="52" t="s">
        <v>744</v>
      </c>
    </row>
    <row r="404" spans="1:10" ht="26.4" customHeight="1" x14ac:dyDescent="0.3">
      <c r="A404" s="59">
        <v>45779</v>
      </c>
      <c r="B404" s="55" t="s">
        <v>286</v>
      </c>
      <c r="C404" s="65" t="s">
        <v>108</v>
      </c>
      <c r="D404" s="61" t="s">
        <v>67</v>
      </c>
      <c r="E404" s="61" t="s">
        <v>488</v>
      </c>
      <c r="F404" s="62">
        <v>9728</v>
      </c>
      <c r="G404" s="62"/>
      <c r="H404" s="52" t="s">
        <v>154</v>
      </c>
      <c r="I404" s="64" t="s">
        <v>747</v>
      </c>
      <c r="J404" s="63" t="s">
        <v>188</v>
      </c>
    </row>
    <row r="405" spans="1:10" ht="26.4" customHeight="1" x14ac:dyDescent="0.3">
      <c r="A405" s="59">
        <v>45855</v>
      </c>
      <c r="B405" s="55" t="s">
        <v>351</v>
      </c>
      <c r="C405" s="65" t="s">
        <v>108</v>
      </c>
      <c r="D405" s="61" t="s">
        <v>67</v>
      </c>
      <c r="E405" s="61" t="s">
        <v>671</v>
      </c>
      <c r="F405" s="62"/>
      <c r="G405" s="62"/>
      <c r="H405" s="77"/>
      <c r="I405" s="62"/>
      <c r="J405" s="52"/>
    </row>
    <row r="406" spans="1:10" ht="26.4" customHeight="1" x14ac:dyDescent="0.3">
      <c r="A406" s="59">
        <v>45859</v>
      </c>
      <c r="B406" s="55" t="s">
        <v>352</v>
      </c>
      <c r="C406" s="65" t="s">
        <v>105</v>
      </c>
      <c r="D406" s="61" t="s">
        <v>68</v>
      </c>
      <c r="E406" s="61" t="s">
        <v>672</v>
      </c>
      <c r="F406" s="62"/>
      <c r="G406" s="62"/>
      <c r="H406" s="77"/>
      <c r="I406" s="62"/>
      <c r="J406" s="52"/>
    </row>
    <row r="407" spans="1:10" ht="26.4" customHeight="1" x14ac:dyDescent="0.3">
      <c r="A407" s="59">
        <v>45859</v>
      </c>
      <c r="B407" s="55" t="s">
        <v>353</v>
      </c>
      <c r="C407" s="65" t="s">
        <v>108</v>
      </c>
      <c r="D407" s="61" t="s">
        <v>67</v>
      </c>
      <c r="E407" s="61" t="s">
        <v>673</v>
      </c>
      <c r="F407" s="62"/>
      <c r="G407" s="62"/>
      <c r="H407" s="77"/>
      <c r="I407" s="62"/>
      <c r="J407" s="52"/>
    </row>
    <row r="408" spans="1:10" ht="26.4" customHeight="1" x14ac:dyDescent="0.3">
      <c r="A408" s="59">
        <v>45859</v>
      </c>
      <c r="B408" s="55" t="s">
        <v>354</v>
      </c>
      <c r="C408" s="65" t="s">
        <v>100</v>
      </c>
      <c r="D408" s="61" t="s">
        <v>67</v>
      </c>
      <c r="E408" s="61" t="s">
        <v>637</v>
      </c>
      <c r="F408" s="62">
        <v>971</v>
      </c>
      <c r="G408" s="62"/>
      <c r="H408" s="77"/>
      <c r="I408" s="62"/>
      <c r="J408" s="52"/>
    </row>
    <row r="409" spans="1:10" ht="26.4" customHeight="1" x14ac:dyDescent="0.3">
      <c r="A409" s="59">
        <v>45861</v>
      </c>
      <c r="B409" s="55" t="s">
        <v>355</v>
      </c>
      <c r="C409" s="65" t="s">
        <v>34</v>
      </c>
      <c r="D409" s="61" t="s">
        <v>67</v>
      </c>
      <c r="E409" s="61" t="s">
        <v>630</v>
      </c>
      <c r="F409" s="62">
        <v>0</v>
      </c>
      <c r="G409" s="62"/>
      <c r="H409" s="63" t="s">
        <v>745</v>
      </c>
      <c r="I409" s="62"/>
      <c r="J409" s="52" t="s">
        <v>744</v>
      </c>
    </row>
    <row r="410" spans="1:10" ht="26.4" customHeight="1" x14ac:dyDescent="0.3">
      <c r="A410" s="59"/>
      <c r="C410" s="65"/>
      <c r="D410" s="61"/>
      <c r="E410" s="61" t="s">
        <v>488</v>
      </c>
      <c r="F410" s="62">
        <v>2441</v>
      </c>
      <c r="G410" s="62"/>
      <c r="H410" s="52" t="s">
        <v>154</v>
      </c>
      <c r="I410" s="64" t="s">
        <v>747</v>
      </c>
      <c r="J410" s="63" t="s">
        <v>188</v>
      </c>
    </row>
    <row r="411" spans="1:10" ht="26.4" customHeight="1" x14ac:dyDescent="0.3">
      <c r="A411" s="59">
        <v>45852</v>
      </c>
      <c r="B411" s="55" t="s">
        <v>356</v>
      </c>
      <c r="C411" s="65" t="s">
        <v>342</v>
      </c>
      <c r="D411" s="61" t="s">
        <v>67</v>
      </c>
      <c r="E411" s="61" t="s">
        <v>674</v>
      </c>
      <c r="F411" s="62"/>
      <c r="G411" s="62"/>
      <c r="H411" s="77"/>
      <c r="I411" s="62"/>
      <c r="J411" s="52"/>
    </row>
    <row r="412" spans="1:10" ht="26.4" customHeight="1" x14ac:dyDescent="0.3">
      <c r="A412" s="59">
        <v>45852</v>
      </c>
      <c r="C412" s="65" t="s">
        <v>342</v>
      </c>
      <c r="D412" s="61" t="s">
        <v>67</v>
      </c>
      <c r="E412" s="61" t="s">
        <v>488</v>
      </c>
      <c r="F412" s="62">
        <v>13600</v>
      </c>
      <c r="G412" s="62"/>
      <c r="H412" s="52" t="s">
        <v>154</v>
      </c>
      <c r="I412" s="64" t="s">
        <v>747</v>
      </c>
      <c r="J412" s="63" t="s">
        <v>188</v>
      </c>
    </row>
    <row r="413" spans="1:10" ht="26.4" customHeight="1" x14ac:dyDescent="0.3">
      <c r="A413" s="59"/>
      <c r="C413" s="65"/>
      <c r="D413" s="61"/>
      <c r="E413" s="61" t="s">
        <v>488</v>
      </c>
      <c r="F413" s="62"/>
      <c r="G413" s="62"/>
      <c r="H413" s="52" t="s">
        <v>154</v>
      </c>
      <c r="I413" s="64" t="s">
        <v>747</v>
      </c>
      <c r="J413" s="63" t="s">
        <v>188</v>
      </c>
    </row>
    <row r="414" spans="1:10" ht="26.4" customHeight="1" x14ac:dyDescent="0.3">
      <c r="A414" s="59">
        <v>45868</v>
      </c>
      <c r="B414" s="67"/>
      <c r="C414" s="65" t="s">
        <v>20</v>
      </c>
      <c r="D414" s="61" t="s">
        <v>68</v>
      </c>
      <c r="E414" s="61" t="s">
        <v>488</v>
      </c>
      <c r="F414" s="62">
        <v>1650</v>
      </c>
      <c r="G414" s="62"/>
      <c r="H414" s="52" t="s">
        <v>154</v>
      </c>
      <c r="I414" s="64" t="s">
        <v>747</v>
      </c>
      <c r="J414" s="63" t="s">
        <v>188</v>
      </c>
    </row>
    <row r="415" spans="1:10" ht="26.4" customHeight="1" x14ac:dyDescent="0.3">
      <c r="A415" s="59">
        <v>45868</v>
      </c>
      <c r="B415" s="67"/>
      <c r="C415" s="65" t="s">
        <v>18</v>
      </c>
      <c r="D415" s="61" t="s">
        <v>68</v>
      </c>
      <c r="E415" s="61" t="s">
        <v>488</v>
      </c>
      <c r="F415" s="62">
        <v>1650</v>
      </c>
      <c r="G415" s="62"/>
      <c r="H415" s="52" t="s">
        <v>154</v>
      </c>
      <c r="I415" s="64" t="s">
        <v>747</v>
      </c>
      <c r="J415" s="63" t="s">
        <v>188</v>
      </c>
    </row>
    <row r="416" spans="1:10" ht="26.4" customHeight="1" x14ac:dyDescent="0.3">
      <c r="A416" s="59">
        <v>45875</v>
      </c>
      <c r="B416" s="70" t="s">
        <v>358</v>
      </c>
      <c r="C416" s="65" t="s">
        <v>357</v>
      </c>
      <c r="D416" s="61" t="s">
        <v>68</v>
      </c>
      <c r="E416" s="61" t="s">
        <v>675</v>
      </c>
      <c r="F416" s="62"/>
      <c r="G416" s="62"/>
      <c r="H416" s="77"/>
      <c r="I416" s="62"/>
      <c r="J416" s="52"/>
    </row>
    <row r="417" spans="1:10" ht="26.4" customHeight="1" x14ac:dyDescent="0.3">
      <c r="A417" s="59">
        <v>45881</v>
      </c>
      <c r="B417" s="55" t="s">
        <v>360</v>
      </c>
      <c r="C417" s="65" t="s">
        <v>361</v>
      </c>
      <c r="D417" s="61" t="s">
        <v>68</v>
      </c>
      <c r="E417" s="61" t="s">
        <v>491</v>
      </c>
      <c r="F417" s="62"/>
      <c r="G417" s="62"/>
      <c r="H417" s="77"/>
      <c r="I417" s="62"/>
      <c r="J417" s="52"/>
    </row>
    <row r="418" spans="1:10" ht="26.4" customHeight="1" x14ac:dyDescent="0.3">
      <c r="A418" s="59">
        <v>45882</v>
      </c>
      <c r="B418" s="55" t="s">
        <v>362</v>
      </c>
      <c r="C418" s="65" t="s">
        <v>105</v>
      </c>
      <c r="D418" s="61" t="s">
        <v>68</v>
      </c>
      <c r="E418" s="61" t="s">
        <v>676</v>
      </c>
      <c r="F418" s="62"/>
      <c r="G418" s="62"/>
      <c r="H418" s="77"/>
      <c r="I418" s="62"/>
      <c r="J418" s="52"/>
    </row>
    <row r="419" spans="1:10" ht="26.4" customHeight="1" x14ac:dyDescent="0.3">
      <c r="A419" s="59">
        <v>45880</v>
      </c>
      <c r="B419" s="70" t="s">
        <v>363</v>
      </c>
      <c r="C419" s="65" t="s">
        <v>357</v>
      </c>
      <c r="D419" s="61" t="s">
        <v>68</v>
      </c>
      <c r="E419" s="61" t="s">
        <v>677</v>
      </c>
      <c r="F419" s="62"/>
      <c r="G419" s="62"/>
      <c r="H419" s="77"/>
      <c r="I419" s="62"/>
      <c r="J419" s="52"/>
    </row>
    <row r="420" spans="1:10" ht="26.4" customHeight="1" x14ac:dyDescent="0.3">
      <c r="A420" s="59">
        <v>45882</v>
      </c>
      <c r="B420" s="55" t="s">
        <v>364</v>
      </c>
      <c r="C420" s="65" t="s">
        <v>306</v>
      </c>
      <c r="D420" s="61" t="s">
        <v>67</v>
      </c>
      <c r="E420" s="61" t="s">
        <v>643</v>
      </c>
      <c r="F420" s="62"/>
      <c r="G420" s="62"/>
      <c r="H420" s="77"/>
      <c r="I420" s="62"/>
      <c r="J420" s="52"/>
    </row>
    <row r="421" spans="1:10" ht="26.4" customHeight="1" x14ac:dyDescent="0.3">
      <c r="A421" s="59"/>
      <c r="B421" s="70" t="s">
        <v>365</v>
      </c>
      <c r="C421" s="65"/>
      <c r="D421" s="61"/>
      <c r="E421" s="61" t="s">
        <v>488</v>
      </c>
      <c r="F421" s="62"/>
      <c r="G421" s="62"/>
      <c r="H421" s="52" t="s">
        <v>154</v>
      </c>
      <c r="I421" s="64" t="s">
        <v>747</v>
      </c>
      <c r="J421" s="63" t="s">
        <v>188</v>
      </c>
    </row>
    <row r="422" spans="1:10" ht="26.4" customHeight="1" x14ac:dyDescent="0.3">
      <c r="A422" s="59">
        <v>45881</v>
      </c>
      <c r="B422" s="55" t="s">
        <v>365</v>
      </c>
      <c r="C422" s="65" t="s">
        <v>177</v>
      </c>
      <c r="D422" s="61" t="s">
        <v>67</v>
      </c>
      <c r="E422" s="61" t="s">
        <v>574</v>
      </c>
      <c r="F422" s="62"/>
      <c r="G422" s="62"/>
      <c r="H422" s="77"/>
      <c r="I422" s="62"/>
      <c r="J422" s="52"/>
    </row>
    <row r="423" spans="1:10" ht="26.4" customHeight="1" x14ac:dyDescent="0.3">
      <c r="A423" s="59">
        <v>45874</v>
      </c>
      <c r="B423" s="55" t="s">
        <v>366</v>
      </c>
      <c r="C423" s="65" t="s">
        <v>37</v>
      </c>
      <c r="D423" s="61" t="s">
        <v>68</v>
      </c>
      <c r="E423" s="61" t="s">
        <v>491</v>
      </c>
      <c r="F423" s="62">
        <v>0</v>
      </c>
      <c r="G423" s="62"/>
      <c r="H423" s="63" t="s">
        <v>745</v>
      </c>
      <c r="I423" s="62"/>
      <c r="J423" s="52" t="s">
        <v>744</v>
      </c>
    </row>
    <row r="424" spans="1:10" ht="26.4" customHeight="1" x14ac:dyDescent="0.3">
      <c r="A424" s="59">
        <v>45860</v>
      </c>
      <c r="B424" s="55" t="s">
        <v>367</v>
      </c>
      <c r="C424" s="65" t="s">
        <v>34</v>
      </c>
      <c r="D424" s="61" t="s">
        <v>67</v>
      </c>
      <c r="E424" s="61" t="s">
        <v>612</v>
      </c>
      <c r="F424" s="62">
        <v>0</v>
      </c>
      <c r="G424" s="62"/>
      <c r="H424" s="63" t="s">
        <v>745</v>
      </c>
      <c r="I424" s="62"/>
      <c r="J424" s="52" t="s">
        <v>744</v>
      </c>
    </row>
    <row r="425" spans="1:10" ht="26.4" customHeight="1" x14ac:dyDescent="0.3">
      <c r="A425" s="59">
        <v>45882</v>
      </c>
      <c r="B425" s="55" t="s">
        <v>368</v>
      </c>
      <c r="C425" s="65" t="s">
        <v>34</v>
      </c>
      <c r="D425" s="61" t="s">
        <v>67</v>
      </c>
      <c r="E425" s="61" t="s">
        <v>612</v>
      </c>
      <c r="F425" s="62">
        <v>0</v>
      </c>
      <c r="G425" s="62"/>
      <c r="H425" s="63" t="s">
        <v>745</v>
      </c>
      <c r="I425" s="62"/>
      <c r="J425" s="52" t="s">
        <v>744</v>
      </c>
    </row>
    <row r="426" spans="1:10" ht="26.4" customHeight="1" x14ac:dyDescent="0.3">
      <c r="A426" s="59">
        <v>45882</v>
      </c>
      <c r="B426" s="55" t="s">
        <v>369</v>
      </c>
      <c r="C426" s="65" t="s">
        <v>34</v>
      </c>
      <c r="D426" s="61" t="s">
        <v>67</v>
      </c>
      <c r="E426" s="61" t="s">
        <v>612</v>
      </c>
      <c r="F426" s="62">
        <v>0</v>
      </c>
      <c r="G426" s="62"/>
      <c r="H426" s="63" t="s">
        <v>745</v>
      </c>
      <c r="I426" s="62"/>
      <c r="J426" s="52" t="s">
        <v>744</v>
      </c>
    </row>
    <row r="427" spans="1:10" ht="26.4" customHeight="1" x14ac:dyDescent="0.3">
      <c r="A427" s="59">
        <v>45885</v>
      </c>
      <c r="B427" s="55" t="s">
        <v>364</v>
      </c>
      <c r="C427" s="65" t="s">
        <v>306</v>
      </c>
      <c r="D427" s="61" t="s">
        <v>67</v>
      </c>
      <c r="E427" s="61" t="s">
        <v>488</v>
      </c>
      <c r="F427" s="62">
        <v>998</v>
      </c>
      <c r="G427" s="62"/>
      <c r="H427" s="52" t="s">
        <v>154</v>
      </c>
      <c r="I427" s="64" t="s">
        <v>747</v>
      </c>
      <c r="J427" s="63" t="s">
        <v>188</v>
      </c>
    </row>
    <row r="428" spans="1:10" ht="26.4" customHeight="1" x14ac:dyDescent="0.3">
      <c r="A428" s="59">
        <v>45862</v>
      </c>
      <c r="B428" s="55" t="s">
        <v>370</v>
      </c>
      <c r="C428" s="65" t="s">
        <v>40</v>
      </c>
      <c r="D428" s="61" t="s">
        <v>67</v>
      </c>
      <c r="E428" s="61" t="s">
        <v>553</v>
      </c>
      <c r="F428" s="62">
        <v>0</v>
      </c>
      <c r="G428" s="62"/>
      <c r="H428" s="63" t="s">
        <v>745</v>
      </c>
      <c r="I428" s="62"/>
      <c r="J428" s="52" t="s">
        <v>744</v>
      </c>
    </row>
    <row r="429" spans="1:10" ht="26.4" customHeight="1" x14ac:dyDescent="0.3">
      <c r="A429" s="59">
        <v>45862</v>
      </c>
      <c r="B429" s="65" t="s">
        <v>371</v>
      </c>
      <c r="C429" s="65" t="s">
        <v>40</v>
      </c>
      <c r="D429" s="61" t="s">
        <v>67</v>
      </c>
      <c r="E429" s="61" t="s">
        <v>488</v>
      </c>
      <c r="F429" s="62">
        <v>2441</v>
      </c>
      <c r="G429" s="62"/>
      <c r="H429" s="52" t="s">
        <v>154</v>
      </c>
      <c r="I429" s="64" t="s">
        <v>747</v>
      </c>
      <c r="J429" s="63" t="s">
        <v>188</v>
      </c>
    </row>
    <row r="430" spans="1:10" ht="26.4" customHeight="1" x14ac:dyDescent="0.3">
      <c r="A430" s="59">
        <v>45888</v>
      </c>
      <c r="B430" s="70" t="s">
        <v>372</v>
      </c>
      <c r="C430" s="65" t="s">
        <v>40</v>
      </c>
      <c r="D430" s="61" t="s">
        <v>67</v>
      </c>
      <c r="E430" s="61" t="s">
        <v>678</v>
      </c>
      <c r="F430" s="62">
        <v>0</v>
      </c>
      <c r="G430" s="62"/>
      <c r="H430" s="63" t="s">
        <v>745</v>
      </c>
      <c r="I430" s="62"/>
      <c r="J430" s="52" t="s">
        <v>744</v>
      </c>
    </row>
    <row r="431" spans="1:10" ht="26.4" customHeight="1" x14ac:dyDescent="0.3">
      <c r="A431" s="59">
        <v>45888</v>
      </c>
      <c r="B431" s="55" t="s">
        <v>373</v>
      </c>
      <c r="C431" s="65" t="s">
        <v>170</v>
      </c>
      <c r="D431" s="61" t="s">
        <v>68</v>
      </c>
      <c r="E431" s="61" t="s">
        <v>679</v>
      </c>
      <c r="F431" s="62">
        <v>0</v>
      </c>
      <c r="G431" s="62"/>
      <c r="H431" s="63" t="s">
        <v>745</v>
      </c>
      <c r="I431" s="62"/>
      <c r="J431" s="52" t="s">
        <v>744</v>
      </c>
    </row>
    <row r="432" spans="1:10" ht="26.4" customHeight="1" x14ac:dyDescent="0.3">
      <c r="A432" s="59">
        <v>45888</v>
      </c>
      <c r="B432" s="55" t="s">
        <v>374</v>
      </c>
      <c r="C432" s="65" t="s">
        <v>34</v>
      </c>
      <c r="D432" s="61" t="s">
        <v>67</v>
      </c>
      <c r="E432" s="61" t="s">
        <v>615</v>
      </c>
      <c r="F432" s="62">
        <v>0</v>
      </c>
      <c r="G432" s="62"/>
      <c r="H432" s="63" t="s">
        <v>745</v>
      </c>
      <c r="I432" s="62"/>
      <c r="J432" s="52" t="s">
        <v>744</v>
      </c>
    </row>
    <row r="433" spans="1:10" ht="26.4" customHeight="1" x14ac:dyDescent="0.3">
      <c r="A433" s="59">
        <v>45883</v>
      </c>
      <c r="B433" s="55" t="s">
        <v>375</v>
      </c>
      <c r="C433" s="65" t="s">
        <v>105</v>
      </c>
      <c r="D433" s="61" t="s">
        <v>68</v>
      </c>
      <c r="E433" s="61" t="s">
        <v>680</v>
      </c>
      <c r="F433" s="62"/>
      <c r="G433" s="62"/>
      <c r="H433" s="77"/>
      <c r="I433" s="62"/>
      <c r="J433" s="52"/>
    </row>
    <row r="434" spans="1:10" ht="26.4" customHeight="1" x14ac:dyDescent="0.3">
      <c r="A434" s="59">
        <v>45883</v>
      </c>
      <c r="B434" s="55" t="s">
        <v>377</v>
      </c>
      <c r="C434" s="65" t="s">
        <v>376</v>
      </c>
      <c r="D434" s="61" t="s">
        <v>68</v>
      </c>
      <c r="E434" s="61" t="s">
        <v>662</v>
      </c>
      <c r="F434" s="62"/>
      <c r="G434" s="62"/>
      <c r="H434" s="77"/>
      <c r="I434" s="62"/>
      <c r="J434" s="52"/>
    </row>
    <row r="435" spans="1:10" ht="26.4" customHeight="1" x14ac:dyDescent="0.3">
      <c r="A435" s="59">
        <v>45890</v>
      </c>
      <c r="B435" s="70" t="s">
        <v>378</v>
      </c>
      <c r="C435" s="65" t="s">
        <v>37</v>
      </c>
      <c r="D435" s="61" t="s">
        <v>68</v>
      </c>
      <c r="E435" s="61" t="s">
        <v>681</v>
      </c>
      <c r="F435" s="62">
        <v>0</v>
      </c>
      <c r="G435" s="62"/>
      <c r="H435" s="63" t="s">
        <v>745</v>
      </c>
      <c r="I435" s="62"/>
      <c r="J435" s="52" t="s">
        <v>744</v>
      </c>
    </row>
    <row r="436" spans="1:10" ht="26.4" customHeight="1" x14ac:dyDescent="0.3">
      <c r="A436" s="59">
        <v>45842</v>
      </c>
      <c r="B436" s="55" t="s">
        <v>379</v>
      </c>
      <c r="C436" s="65" t="s">
        <v>12</v>
      </c>
      <c r="D436" s="61" t="s">
        <v>67</v>
      </c>
      <c r="E436" s="61" t="s">
        <v>603</v>
      </c>
      <c r="F436" s="62"/>
      <c r="G436" s="62"/>
      <c r="H436" s="77"/>
      <c r="I436" s="62"/>
      <c r="J436" s="52"/>
    </row>
    <row r="437" spans="1:10" ht="26.4" customHeight="1" x14ac:dyDescent="0.3">
      <c r="A437" s="59">
        <v>45842</v>
      </c>
      <c r="B437" s="55" t="s">
        <v>380</v>
      </c>
      <c r="C437" s="65" t="s">
        <v>12</v>
      </c>
      <c r="D437" s="61" t="s">
        <v>67</v>
      </c>
      <c r="E437" s="61" t="s">
        <v>603</v>
      </c>
      <c r="F437" s="62"/>
      <c r="G437" s="62"/>
      <c r="H437" s="77"/>
      <c r="I437" s="62"/>
      <c r="J437" s="52"/>
    </row>
    <row r="438" spans="1:10" ht="26.4" customHeight="1" x14ac:dyDescent="0.3">
      <c r="A438" s="59">
        <v>45891</v>
      </c>
      <c r="B438" s="55" t="s">
        <v>381</v>
      </c>
      <c r="C438" s="65" t="s">
        <v>163</v>
      </c>
      <c r="D438" s="61" t="s">
        <v>67</v>
      </c>
      <c r="E438" s="61" t="s">
        <v>682</v>
      </c>
      <c r="F438" s="62">
        <v>0</v>
      </c>
      <c r="G438" s="62"/>
      <c r="H438" s="63" t="s">
        <v>745</v>
      </c>
      <c r="I438" s="62"/>
      <c r="J438" s="52" t="s">
        <v>744</v>
      </c>
    </row>
    <row r="439" spans="1:10" ht="26.4" customHeight="1" x14ac:dyDescent="0.3">
      <c r="A439" s="59"/>
      <c r="B439" s="55" t="s">
        <v>383</v>
      </c>
      <c r="C439" s="65"/>
      <c r="D439" s="61"/>
      <c r="E439" s="61" t="s">
        <v>488</v>
      </c>
      <c r="F439" s="62"/>
      <c r="G439" s="62"/>
      <c r="H439" s="52" t="s">
        <v>154</v>
      </c>
      <c r="I439" s="64" t="s">
        <v>747</v>
      </c>
      <c r="J439" s="63" t="s">
        <v>188</v>
      </c>
    </row>
    <row r="440" spans="1:10" ht="26.4" customHeight="1" x14ac:dyDescent="0.3">
      <c r="A440" s="59">
        <v>45846</v>
      </c>
      <c r="B440" s="70" t="s">
        <v>383</v>
      </c>
      <c r="C440" s="65" t="s">
        <v>195</v>
      </c>
      <c r="D440" s="61" t="s">
        <v>67</v>
      </c>
      <c r="E440" s="61" t="s">
        <v>683</v>
      </c>
      <c r="F440" s="62">
        <v>0</v>
      </c>
      <c r="G440" s="62"/>
      <c r="H440" s="63" t="s">
        <v>745</v>
      </c>
      <c r="I440" s="62"/>
      <c r="J440" s="52" t="s">
        <v>744</v>
      </c>
    </row>
    <row r="441" spans="1:10" ht="26.4" customHeight="1" x14ac:dyDescent="0.3">
      <c r="A441" s="59">
        <v>45894</v>
      </c>
      <c r="B441" s="55" t="s">
        <v>384</v>
      </c>
      <c r="C441" s="65" t="s">
        <v>105</v>
      </c>
      <c r="D441" s="61" t="s">
        <v>68</v>
      </c>
      <c r="E441" s="61" t="s">
        <v>684</v>
      </c>
      <c r="F441" s="62">
        <v>0</v>
      </c>
      <c r="G441" s="62"/>
      <c r="H441" s="63" t="s">
        <v>745</v>
      </c>
      <c r="I441" s="62"/>
      <c r="J441" s="52" t="s">
        <v>744</v>
      </c>
    </row>
    <row r="442" spans="1:10" ht="26.4" customHeight="1" x14ac:dyDescent="0.3">
      <c r="A442" s="59">
        <v>45890</v>
      </c>
      <c r="B442" s="67" t="s">
        <v>385</v>
      </c>
      <c r="C442" s="65" t="s">
        <v>48</v>
      </c>
      <c r="D442" s="61" t="s">
        <v>67</v>
      </c>
      <c r="E442" s="61" t="s">
        <v>499</v>
      </c>
      <c r="F442" s="62">
        <v>0</v>
      </c>
      <c r="G442" s="62"/>
      <c r="H442" s="63" t="s">
        <v>745</v>
      </c>
      <c r="I442" s="62"/>
      <c r="J442" s="52" t="s">
        <v>744</v>
      </c>
    </row>
    <row r="443" spans="1:10" ht="26.4" customHeight="1" x14ac:dyDescent="0.3">
      <c r="A443" s="59">
        <v>45894</v>
      </c>
      <c r="B443" s="70" t="s">
        <v>407</v>
      </c>
      <c r="C443" s="65" t="s">
        <v>386</v>
      </c>
      <c r="D443" s="61" t="s">
        <v>68</v>
      </c>
      <c r="E443" s="61" t="s">
        <v>685</v>
      </c>
      <c r="F443" s="62">
        <v>0</v>
      </c>
      <c r="G443" s="62"/>
      <c r="H443" s="63" t="s">
        <v>745</v>
      </c>
      <c r="I443" s="62"/>
      <c r="J443" s="52" t="s">
        <v>744</v>
      </c>
    </row>
    <row r="444" spans="1:10" ht="26.4" customHeight="1" x14ac:dyDescent="0.3">
      <c r="A444" s="59">
        <v>45890</v>
      </c>
      <c r="B444" s="55" t="s">
        <v>387</v>
      </c>
      <c r="C444" s="65" t="s">
        <v>388</v>
      </c>
      <c r="D444" s="61" t="s">
        <v>67</v>
      </c>
      <c r="E444" s="61" t="s">
        <v>541</v>
      </c>
      <c r="F444" s="62">
        <v>0</v>
      </c>
      <c r="G444" s="62"/>
      <c r="H444" s="63" t="s">
        <v>745</v>
      </c>
      <c r="I444" s="62"/>
      <c r="J444" s="52" t="s">
        <v>744</v>
      </c>
    </row>
    <row r="445" spans="1:10" ht="26.4" customHeight="1" x14ac:dyDescent="0.3">
      <c r="A445" s="59">
        <v>45890</v>
      </c>
      <c r="B445" s="67" t="s">
        <v>389</v>
      </c>
      <c r="C445" s="65" t="s">
        <v>388</v>
      </c>
      <c r="D445" s="61" t="s">
        <v>67</v>
      </c>
      <c r="E445" s="61" t="s">
        <v>686</v>
      </c>
      <c r="F445" s="62">
        <v>0</v>
      </c>
      <c r="G445" s="62"/>
      <c r="H445" s="63" t="s">
        <v>745</v>
      </c>
      <c r="I445" s="62"/>
      <c r="J445" s="52" t="s">
        <v>744</v>
      </c>
    </row>
    <row r="446" spans="1:10" ht="26.4" customHeight="1" x14ac:dyDescent="0.3">
      <c r="A446" s="59">
        <v>45888</v>
      </c>
      <c r="B446" s="70" t="s">
        <v>372</v>
      </c>
      <c r="C446" s="65" t="s">
        <v>40</v>
      </c>
      <c r="D446" s="61" t="s">
        <v>67</v>
      </c>
      <c r="E446" s="61" t="s">
        <v>488</v>
      </c>
      <c r="F446" s="62">
        <v>2966</v>
      </c>
      <c r="G446" s="62"/>
      <c r="H446" s="52" t="s">
        <v>154</v>
      </c>
      <c r="I446" s="64" t="s">
        <v>747</v>
      </c>
      <c r="J446" s="63" t="s">
        <v>188</v>
      </c>
    </row>
    <row r="447" spans="1:10" ht="26.4" customHeight="1" x14ac:dyDescent="0.3">
      <c r="A447" s="59">
        <v>45824</v>
      </c>
      <c r="B447" s="55" t="s">
        <v>322</v>
      </c>
      <c r="C447" s="65" t="s">
        <v>73</v>
      </c>
      <c r="D447" s="61" t="s">
        <v>67</v>
      </c>
      <c r="E447" s="61" t="s">
        <v>488</v>
      </c>
      <c r="F447" s="62">
        <v>2042</v>
      </c>
      <c r="G447" s="62"/>
      <c r="H447" s="52" t="s">
        <v>154</v>
      </c>
      <c r="I447" s="64" t="s">
        <v>747</v>
      </c>
      <c r="J447" s="63" t="s">
        <v>188</v>
      </c>
    </row>
    <row r="448" spans="1:10" ht="26.4" customHeight="1" x14ac:dyDescent="0.3">
      <c r="A448" s="59">
        <v>45888</v>
      </c>
      <c r="B448" s="55" t="s">
        <v>373</v>
      </c>
      <c r="C448" s="65" t="s">
        <v>170</v>
      </c>
      <c r="D448" s="61" t="s">
        <v>68</v>
      </c>
      <c r="E448" s="61" t="s">
        <v>488</v>
      </c>
      <c r="F448" s="62">
        <v>10925</v>
      </c>
      <c r="G448" s="62"/>
      <c r="H448" s="52" t="s">
        <v>154</v>
      </c>
      <c r="I448" s="64" t="s">
        <v>747</v>
      </c>
      <c r="J448" s="63" t="s">
        <v>188</v>
      </c>
    </row>
    <row r="449" spans="1:10" ht="26.4" customHeight="1" x14ac:dyDescent="0.3">
      <c r="A449" s="59">
        <v>45890</v>
      </c>
      <c r="B449" s="67" t="s">
        <v>389</v>
      </c>
      <c r="C449" s="65" t="s">
        <v>388</v>
      </c>
      <c r="D449" s="61" t="s">
        <v>67</v>
      </c>
      <c r="E449" s="61" t="s">
        <v>488</v>
      </c>
      <c r="F449" s="62">
        <v>9465</v>
      </c>
      <c r="G449" s="62"/>
      <c r="H449" s="52" t="s">
        <v>154</v>
      </c>
      <c r="I449" s="64" t="s">
        <v>747</v>
      </c>
      <c r="J449" s="63" t="s">
        <v>188</v>
      </c>
    </row>
    <row r="450" spans="1:10" ht="26.4" customHeight="1" x14ac:dyDescent="0.3">
      <c r="A450" s="59">
        <v>45875</v>
      </c>
      <c r="B450" s="55" t="s">
        <v>390</v>
      </c>
      <c r="C450" s="65" t="s">
        <v>357</v>
      </c>
      <c r="D450" s="61" t="s">
        <v>68</v>
      </c>
      <c r="E450" s="61" t="s">
        <v>687</v>
      </c>
      <c r="F450" s="62">
        <v>0</v>
      </c>
      <c r="G450" s="62"/>
      <c r="H450" s="63" t="s">
        <v>745</v>
      </c>
      <c r="I450" s="62"/>
      <c r="J450" s="52" t="s">
        <v>744</v>
      </c>
    </row>
    <row r="451" spans="1:10" ht="26.4" customHeight="1" x14ac:dyDescent="0.3">
      <c r="A451" s="59">
        <v>45875</v>
      </c>
      <c r="B451" s="70" t="s">
        <v>391</v>
      </c>
      <c r="C451" s="65" t="s">
        <v>357</v>
      </c>
      <c r="D451" s="61" t="s">
        <v>68</v>
      </c>
      <c r="E451" s="61" t="s">
        <v>517</v>
      </c>
      <c r="F451" s="62">
        <v>0</v>
      </c>
      <c r="G451" s="62"/>
      <c r="H451" s="63" t="s">
        <v>745</v>
      </c>
      <c r="I451" s="62"/>
      <c r="J451" s="52" t="s">
        <v>744</v>
      </c>
    </row>
    <row r="452" spans="1:10" ht="26.4" customHeight="1" x14ac:dyDescent="0.3">
      <c r="A452" s="59">
        <v>45875</v>
      </c>
      <c r="C452" s="65" t="s">
        <v>357</v>
      </c>
      <c r="D452" s="61" t="s">
        <v>68</v>
      </c>
      <c r="E452" s="61" t="s">
        <v>488</v>
      </c>
      <c r="F452" s="62">
        <v>3874.5</v>
      </c>
      <c r="G452" s="62"/>
      <c r="H452" s="52" t="s">
        <v>154</v>
      </c>
      <c r="I452" s="64" t="s">
        <v>747</v>
      </c>
      <c r="J452" s="63" t="s">
        <v>188</v>
      </c>
    </row>
    <row r="453" spans="1:10" ht="26.4" customHeight="1" x14ac:dyDescent="0.3">
      <c r="A453" s="59">
        <v>45880</v>
      </c>
      <c r="B453" s="55" t="s">
        <v>393</v>
      </c>
      <c r="C453" s="65" t="s">
        <v>392</v>
      </c>
      <c r="D453" s="61" t="s">
        <v>68</v>
      </c>
      <c r="E453" s="61" t="s">
        <v>688</v>
      </c>
      <c r="F453" s="62">
        <v>0</v>
      </c>
      <c r="G453" s="62"/>
      <c r="H453" s="63" t="s">
        <v>745</v>
      </c>
      <c r="I453" s="62"/>
      <c r="J453" s="52" t="s">
        <v>744</v>
      </c>
    </row>
    <row r="454" spans="1:10" ht="26.4" customHeight="1" x14ac:dyDescent="0.3">
      <c r="A454" s="59">
        <v>45880</v>
      </c>
      <c r="B454" s="55" t="s">
        <v>394</v>
      </c>
      <c r="C454" s="65" t="s">
        <v>392</v>
      </c>
      <c r="D454" s="61" t="s">
        <v>68</v>
      </c>
      <c r="E454" s="61" t="s">
        <v>491</v>
      </c>
      <c r="F454" s="62">
        <v>0</v>
      </c>
      <c r="G454" s="62"/>
      <c r="H454" s="63" t="s">
        <v>745</v>
      </c>
      <c r="I454" s="62"/>
      <c r="J454" s="52" t="s">
        <v>744</v>
      </c>
    </row>
    <row r="455" spans="1:10" ht="26.4" customHeight="1" x14ac:dyDescent="0.3">
      <c r="A455" s="59">
        <v>45880</v>
      </c>
      <c r="B455" s="67"/>
      <c r="C455" s="65" t="s">
        <v>392</v>
      </c>
      <c r="D455" s="61" t="s">
        <v>68</v>
      </c>
      <c r="E455" s="61" t="s">
        <v>488</v>
      </c>
      <c r="F455" s="62">
        <v>1720</v>
      </c>
      <c r="G455" s="62"/>
      <c r="H455" s="52" t="s">
        <v>154</v>
      </c>
      <c r="I455" s="64" t="s">
        <v>747</v>
      </c>
      <c r="J455" s="63" t="s">
        <v>188</v>
      </c>
    </row>
    <row r="456" spans="1:10" ht="26.4" customHeight="1" x14ac:dyDescent="0.3">
      <c r="A456" s="59">
        <v>45887</v>
      </c>
      <c r="B456" s="55" t="s">
        <v>377</v>
      </c>
      <c r="C456" s="65" t="s">
        <v>376</v>
      </c>
      <c r="D456" s="61" t="s">
        <v>68</v>
      </c>
      <c r="E456" s="61" t="s">
        <v>488</v>
      </c>
      <c r="F456" s="62">
        <v>807.18</v>
      </c>
      <c r="G456" s="62"/>
      <c r="H456" s="52" t="s">
        <v>154</v>
      </c>
      <c r="I456" s="64" t="s">
        <v>747</v>
      </c>
      <c r="J456" s="63" t="s">
        <v>188</v>
      </c>
    </row>
    <row r="457" spans="1:10" ht="26.4" customHeight="1" x14ac:dyDescent="0.3">
      <c r="A457" s="59">
        <v>45875</v>
      </c>
      <c r="B457" s="55" t="s">
        <v>395</v>
      </c>
      <c r="C457" s="65" t="s">
        <v>376</v>
      </c>
      <c r="D457" s="61" t="s">
        <v>68</v>
      </c>
      <c r="E457" s="61" t="s">
        <v>689</v>
      </c>
      <c r="F457" s="62">
        <v>0</v>
      </c>
      <c r="G457" s="62"/>
      <c r="H457" s="63" t="s">
        <v>745</v>
      </c>
      <c r="I457" s="62"/>
      <c r="J457" s="52" t="s">
        <v>744</v>
      </c>
    </row>
    <row r="458" spans="1:10" ht="26.4" customHeight="1" x14ac:dyDescent="0.3">
      <c r="A458" s="59">
        <v>45875</v>
      </c>
      <c r="B458" s="55" t="s">
        <v>396</v>
      </c>
      <c r="C458" s="65" t="s">
        <v>376</v>
      </c>
      <c r="D458" s="61" t="s">
        <v>68</v>
      </c>
      <c r="E458" s="61" t="s">
        <v>564</v>
      </c>
      <c r="F458" s="62">
        <v>0</v>
      </c>
      <c r="G458" s="62"/>
      <c r="H458" s="63" t="s">
        <v>745</v>
      </c>
      <c r="I458" s="62"/>
      <c r="J458" s="52" t="s">
        <v>744</v>
      </c>
    </row>
    <row r="459" spans="1:10" ht="26.4" customHeight="1" x14ac:dyDescent="0.3">
      <c r="A459" s="59">
        <v>45881</v>
      </c>
      <c r="B459" s="67"/>
      <c r="C459" s="65" t="s">
        <v>392</v>
      </c>
      <c r="D459" s="61" t="s">
        <v>68</v>
      </c>
      <c r="E459" s="61" t="s">
        <v>488</v>
      </c>
      <c r="F459" s="62">
        <v>12411</v>
      </c>
      <c r="G459" s="62"/>
      <c r="H459" s="52" t="s">
        <v>154</v>
      </c>
      <c r="I459" s="64" t="s">
        <v>747</v>
      </c>
      <c r="J459" s="63" t="s">
        <v>188</v>
      </c>
    </row>
    <row r="460" spans="1:10" ht="26.4" customHeight="1" x14ac:dyDescent="0.3">
      <c r="A460" s="59">
        <v>45789</v>
      </c>
      <c r="B460" s="67" t="s">
        <v>397</v>
      </c>
      <c r="C460" s="65" t="s">
        <v>398</v>
      </c>
      <c r="D460" s="61" t="s">
        <v>399</v>
      </c>
      <c r="E460" s="61" t="s">
        <v>690</v>
      </c>
      <c r="F460" s="62">
        <v>0</v>
      </c>
      <c r="G460" s="62"/>
      <c r="H460" s="63" t="s">
        <v>745</v>
      </c>
      <c r="I460" s="62"/>
      <c r="J460" s="52" t="s">
        <v>744</v>
      </c>
    </row>
    <row r="461" spans="1:10" ht="26.4" customHeight="1" x14ac:dyDescent="0.3">
      <c r="A461" s="59">
        <v>45789</v>
      </c>
      <c r="B461" s="67" t="s">
        <v>397</v>
      </c>
      <c r="C461" s="65" t="s">
        <v>398</v>
      </c>
      <c r="D461" s="61" t="s">
        <v>399</v>
      </c>
      <c r="E461" s="61" t="s">
        <v>488</v>
      </c>
      <c r="F461" s="62">
        <v>1700</v>
      </c>
      <c r="G461" s="62"/>
      <c r="H461" s="52" t="s">
        <v>154</v>
      </c>
      <c r="I461" s="64" t="s">
        <v>747</v>
      </c>
      <c r="J461" s="63" t="s">
        <v>188</v>
      </c>
    </row>
    <row r="462" spans="1:10" ht="26.4" customHeight="1" x14ac:dyDescent="0.3">
      <c r="A462" s="59">
        <v>45894</v>
      </c>
      <c r="B462" s="55" t="s">
        <v>400</v>
      </c>
      <c r="C462" s="65" t="s">
        <v>150</v>
      </c>
      <c r="D462" s="61" t="s">
        <v>401</v>
      </c>
      <c r="E462" s="61" t="s">
        <v>691</v>
      </c>
      <c r="F462" s="62">
        <v>0</v>
      </c>
      <c r="G462" s="62"/>
      <c r="H462" s="63" t="s">
        <v>745</v>
      </c>
      <c r="I462" s="62"/>
      <c r="J462" s="52" t="s">
        <v>744</v>
      </c>
    </row>
    <row r="463" spans="1:10" ht="26.4" customHeight="1" x14ac:dyDescent="0.3">
      <c r="A463" s="59">
        <v>45894</v>
      </c>
      <c r="B463" s="55" t="s">
        <v>411</v>
      </c>
      <c r="C463" s="65" t="s">
        <v>150</v>
      </c>
      <c r="D463" s="61" t="s">
        <v>401</v>
      </c>
      <c r="E463" s="61" t="s">
        <v>491</v>
      </c>
      <c r="F463" s="62">
        <v>0</v>
      </c>
      <c r="G463" s="62"/>
      <c r="H463" s="63" t="s">
        <v>745</v>
      </c>
      <c r="I463" s="62"/>
      <c r="J463" s="52" t="s">
        <v>744</v>
      </c>
    </row>
    <row r="464" spans="1:10" ht="26.4" customHeight="1" x14ac:dyDescent="0.3">
      <c r="A464" s="59">
        <v>45894</v>
      </c>
      <c r="B464" s="67"/>
      <c r="C464" s="65" t="s">
        <v>150</v>
      </c>
      <c r="D464" s="61" t="s">
        <v>401</v>
      </c>
      <c r="E464" s="61" t="s">
        <v>488</v>
      </c>
      <c r="F464" s="62">
        <v>8768</v>
      </c>
      <c r="G464" s="62"/>
      <c r="H464" s="52" t="s">
        <v>154</v>
      </c>
      <c r="I464" s="64" t="s">
        <v>747</v>
      </c>
      <c r="J464" s="63" t="s">
        <v>188</v>
      </c>
    </row>
    <row r="465" spans="1:10" ht="26.4" customHeight="1" x14ac:dyDescent="0.3">
      <c r="A465" s="59">
        <v>45895</v>
      </c>
      <c r="B465" s="55" t="s">
        <v>402</v>
      </c>
      <c r="C465" s="65" t="s">
        <v>195</v>
      </c>
      <c r="D465" s="61" t="s">
        <v>67</v>
      </c>
      <c r="E465" s="61" t="s">
        <v>692</v>
      </c>
      <c r="F465" s="62">
        <v>0</v>
      </c>
      <c r="G465" s="62"/>
      <c r="H465" s="63" t="s">
        <v>745</v>
      </c>
      <c r="I465" s="62"/>
      <c r="J465" s="52" t="s">
        <v>744</v>
      </c>
    </row>
    <row r="466" spans="1:10" ht="26.4" customHeight="1" x14ac:dyDescent="0.3">
      <c r="A466" s="59">
        <v>45894</v>
      </c>
      <c r="B466" s="55" t="s">
        <v>384</v>
      </c>
      <c r="C466" s="65" t="s">
        <v>105</v>
      </c>
      <c r="D466" s="61" t="s">
        <v>68</v>
      </c>
      <c r="E466" s="61" t="s">
        <v>488</v>
      </c>
      <c r="F466" s="62">
        <v>2662</v>
      </c>
      <c r="G466" s="62"/>
      <c r="H466" s="52" t="s">
        <v>154</v>
      </c>
      <c r="I466" s="64" t="s">
        <v>747</v>
      </c>
      <c r="J466" s="63" t="s">
        <v>188</v>
      </c>
    </row>
    <row r="467" spans="1:10" ht="26.4" customHeight="1" x14ac:dyDescent="0.3">
      <c r="A467" s="59">
        <v>45897</v>
      </c>
      <c r="B467" s="55" t="s">
        <v>405</v>
      </c>
      <c r="C467" s="65" t="s">
        <v>359</v>
      </c>
      <c r="D467" s="61" t="s">
        <v>67</v>
      </c>
      <c r="E467" s="61" t="s">
        <v>693</v>
      </c>
      <c r="F467" s="62">
        <v>0</v>
      </c>
      <c r="G467" s="62"/>
      <c r="H467" s="63" t="s">
        <v>745</v>
      </c>
      <c r="I467" s="62"/>
      <c r="J467" s="52" t="s">
        <v>744</v>
      </c>
    </row>
    <row r="468" spans="1:10" ht="26.4" customHeight="1" x14ac:dyDescent="0.3">
      <c r="A468" s="59">
        <v>45897</v>
      </c>
      <c r="B468" s="55" t="s">
        <v>406</v>
      </c>
      <c r="C468" s="65" t="s">
        <v>359</v>
      </c>
      <c r="D468" s="61" t="s">
        <v>67</v>
      </c>
      <c r="E468" s="61" t="s">
        <v>694</v>
      </c>
      <c r="F468" s="62">
        <v>0</v>
      </c>
      <c r="G468" s="62"/>
      <c r="H468" s="63" t="s">
        <v>745</v>
      </c>
      <c r="I468" s="62"/>
      <c r="J468" s="52" t="s">
        <v>744</v>
      </c>
    </row>
    <row r="469" spans="1:10" ht="26.4" customHeight="1" x14ac:dyDescent="0.3">
      <c r="A469" s="59">
        <v>45896</v>
      </c>
      <c r="C469" s="65" t="s">
        <v>359</v>
      </c>
      <c r="D469" s="61" t="s">
        <v>67</v>
      </c>
      <c r="E469" s="61" t="s">
        <v>488</v>
      </c>
      <c r="F469" s="62">
        <v>10250</v>
      </c>
      <c r="G469" s="62"/>
      <c r="H469" s="52" t="s">
        <v>154</v>
      </c>
      <c r="I469" s="64" t="s">
        <v>747</v>
      </c>
      <c r="J469" s="63" t="s">
        <v>188</v>
      </c>
    </row>
    <row r="470" spans="1:10" ht="26.4" customHeight="1" x14ac:dyDescent="0.3">
      <c r="A470" s="59">
        <v>45894</v>
      </c>
      <c r="B470" s="70" t="s">
        <v>408</v>
      </c>
      <c r="C470" s="65" t="s">
        <v>386</v>
      </c>
      <c r="D470" s="61" t="s">
        <v>68</v>
      </c>
      <c r="E470" s="61" t="s">
        <v>491</v>
      </c>
      <c r="F470" s="62">
        <v>0</v>
      </c>
      <c r="G470" s="62"/>
      <c r="H470" s="63" t="s">
        <v>745</v>
      </c>
      <c r="I470" s="62"/>
      <c r="J470" s="52" t="s">
        <v>744</v>
      </c>
    </row>
    <row r="471" spans="1:10" ht="26.4" customHeight="1" x14ac:dyDescent="0.3">
      <c r="A471" s="59">
        <v>45894</v>
      </c>
      <c r="B471" s="70" t="s">
        <v>409</v>
      </c>
      <c r="C471" s="65" t="s">
        <v>386</v>
      </c>
      <c r="D471" s="61" t="s">
        <v>68</v>
      </c>
      <c r="E471" s="61" t="s">
        <v>491</v>
      </c>
      <c r="F471" s="62">
        <v>0</v>
      </c>
      <c r="G471" s="62"/>
      <c r="H471" s="63" t="s">
        <v>745</v>
      </c>
      <c r="I471" s="62"/>
      <c r="J471" s="52" t="s">
        <v>744</v>
      </c>
    </row>
    <row r="472" spans="1:10" ht="26.4" customHeight="1" x14ac:dyDescent="0.3">
      <c r="A472" s="59">
        <v>45894</v>
      </c>
      <c r="C472" s="65" t="s">
        <v>386</v>
      </c>
      <c r="D472" s="61" t="s">
        <v>68</v>
      </c>
      <c r="E472" s="61" t="s">
        <v>488</v>
      </c>
      <c r="F472" s="62">
        <v>17000</v>
      </c>
      <c r="G472" s="62"/>
      <c r="H472" s="52" t="s">
        <v>154</v>
      </c>
      <c r="I472" s="64" t="s">
        <v>747</v>
      </c>
      <c r="J472" s="63" t="s">
        <v>188</v>
      </c>
    </row>
    <row r="473" spans="1:10" ht="26.4" customHeight="1" x14ac:dyDescent="0.3">
      <c r="A473" s="59">
        <v>45897</v>
      </c>
      <c r="B473" s="55" t="s">
        <v>353</v>
      </c>
      <c r="C473" s="65" t="s">
        <v>108</v>
      </c>
      <c r="D473" s="61" t="s">
        <v>67</v>
      </c>
      <c r="E473" s="61" t="s">
        <v>488</v>
      </c>
      <c r="F473" s="62">
        <v>5549</v>
      </c>
      <c r="G473" s="62"/>
      <c r="H473" s="52" t="s">
        <v>154</v>
      </c>
      <c r="I473" s="64" t="s">
        <v>747</v>
      </c>
      <c r="J473" s="63" t="s">
        <v>188</v>
      </c>
    </row>
    <row r="474" spans="1:10" ht="26.4" customHeight="1" x14ac:dyDescent="0.3">
      <c r="A474" s="59">
        <v>45897</v>
      </c>
      <c r="B474" s="67"/>
      <c r="C474" s="65" t="s">
        <v>108</v>
      </c>
      <c r="D474" s="61" t="s">
        <v>67</v>
      </c>
      <c r="E474" s="61" t="s">
        <v>488</v>
      </c>
      <c r="F474" s="62">
        <v>19229</v>
      </c>
      <c r="G474" s="62"/>
      <c r="H474" s="52" t="s">
        <v>154</v>
      </c>
      <c r="I474" s="64" t="s">
        <v>747</v>
      </c>
      <c r="J474" s="63" t="s">
        <v>188</v>
      </c>
    </row>
    <row r="475" spans="1:10" ht="26.4" customHeight="1" x14ac:dyDescent="0.3">
      <c r="A475" s="59">
        <v>45898</v>
      </c>
      <c r="B475" s="55" t="s">
        <v>410</v>
      </c>
      <c r="C475" s="65" t="s">
        <v>108</v>
      </c>
      <c r="D475" s="61" t="s">
        <v>67</v>
      </c>
      <c r="E475" s="61" t="s">
        <v>671</v>
      </c>
      <c r="F475" s="62">
        <v>0</v>
      </c>
      <c r="G475" s="62"/>
      <c r="H475" s="63" t="s">
        <v>745</v>
      </c>
      <c r="I475" s="62"/>
      <c r="J475" s="52" t="s">
        <v>744</v>
      </c>
    </row>
    <row r="476" spans="1:10" ht="26.4" customHeight="1" x14ac:dyDescent="0.3">
      <c r="A476" s="59">
        <v>45902</v>
      </c>
      <c r="B476" s="67"/>
      <c r="C476" s="65" t="s">
        <v>37</v>
      </c>
      <c r="D476" s="61" t="s">
        <v>68</v>
      </c>
      <c r="E476" s="61" t="s">
        <v>488</v>
      </c>
      <c r="F476" s="62">
        <v>3464</v>
      </c>
      <c r="G476" s="62"/>
      <c r="H476" s="52" t="s">
        <v>154</v>
      </c>
      <c r="I476" s="64" t="s">
        <v>747</v>
      </c>
      <c r="J476" s="63" t="s">
        <v>188</v>
      </c>
    </row>
    <row r="477" spans="1:10" ht="26.4" customHeight="1" x14ac:dyDescent="0.3">
      <c r="A477" s="59">
        <v>45897</v>
      </c>
      <c r="B477" s="55" t="s">
        <v>412</v>
      </c>
      <c r="C477" s="65" t="s">
        <v>413</v>
      </c>
      <c r="D477" s="61" t="s">
        <v>67</v>
      </c>
      <c r="E477" s="61" t="s">
        <v>574</v>
      </c>
      <c r="F477" s="62">
        <v>0</v>
      </c>
      <c r="G477" s="62"/>
      <c r="H477" s="63" t="s">
        <v>745</v>
      </c>
      <c r="I477" s="62"/>
      <c r="J477" s="52" t="s">
        <v>744</v>
      </c>
    </row>
    <row r="478" spans="1:10" ht="26.4" customHeight="1" x14ac:dyDescent="0.3">
      <c r="A478" s="59">
        <v>45897</v>
      </c>
      <c r="B478" s="70" t="s">
        <v>415</v>
      </c>
      <c r="C478" s="65" t="s">
        <v>414</v>
      </c>
      <c r="D478" s="61" t="s">
        <v>68</v>
      </c>
      <c r="E478" s="61" t="s">
        <v>695</v>
      </c>
      <c r="F478" s="62">
        <v>0</v>
      </c>
      <c r="G478" s="62"/>
      <c r="H478" s="63" t="s">
        <v>745</v>
      </c>
      <c r="I478" s="62"/>
      <c r="J478" s="52" t="s">
        <v>744</v>
      </c>
    </row>
    <row r="479" spans="1:10" ht="26.4" customHeight="1" x14ac:dyDescent="0.3">
      <c r="A479" s="59">
        <v>45897</v>
      </c>
      <c r="B479" s="70" t="s">
        <v>416</v>
      </c>
      <c r="C479" s="65" t="s">
        <v>414</v>
      </c>
      <c r="D479" s="61" t="s">
        <v>68</v>
      </c>
      <c r="E479" s="61" t="s">
        <v>487</v>
      </c>
      <c r="F479" s="62">
        <v>0</v>
      </c>
      <c r="G479" s="62"/>
      <c r="H479" s="63" t="s">
        <v>745</v>
      </c>
      <c r="I479" s="62"/>
      <c r="J479" s="52" t="s">
        <v>744</v>
      </c>
    </row>
    <row r="480" spans="1:10" ht="26.4" customHeight="1" x14ac:dyDescent="0.3">
      <c r="A480" s="59">
        <v>45897</v>
      </c>
      <c r="B480" s="55" t="s">
        <v>417</v>
      </c>
      <c r="C480" s="65" t="s">
        <v>418</v>
      </c>
      <c r="D480" s="61" t="s">
        <v>67</v>
      </c>
      <c r="E480" s="61" t="s">
        <v>696</v>
      </c>
      <c r="F480" s="62"/>
      <c r="G480" s="62"/>
      <c r="H480" s="77"/>
      <c r="I480" s="62"/>
      <c r="J480" s="52"/>
    </row>
    <row r="481" spans="1:10" ht="26.4" customHeight="1" x14ac:dyDescent="0.3">
      <c r="A481" s="59">
        <v>45897</v>
      </c>
      <c r="B481" s="70" t="s">
        <v>419</v>
      </c>
      <c r="C481" s="65" t="s">
        <v>418</v>
      </c>
      <c r="D481" s="61" t="s">
        <v>67</v>
      </c>
      <c r="E481" s="61" t="s">
        <v>495</v>
      </c>
      <c r="F481" s="62"/>
      <c r="G481" s="62"/>
      <c r="H481" s="77"/>
      <c r="I481" s="62"/>
      <c r="J481" s="52"/>
    </row>
    <row r="482" spans="1:10" ht="26.4" customHeight="1" x14ac:dyDescent="0.3">
      <c r="A482" s="59">
        <v>45904</v>
      </c>
      <c r="B482" s="70" t="s">
        <v>421</v>
      </c>
      <c r="C482" s="65" t="s">
        <v>420</v>
      </c>
      <c r="D482" s="61" t="s">
        <v>67</v>
      </c>
      <c r="E482" s="61" t="s">
        <v>697</v>
      </c>
      <c r="F482" s="62"/>
      <c r="G482" s="62"/>
      <c r="H482" s="77"/>
      <c r="I482" s="62"/>
      <c r="J482" s="52"/>
    </row>
    <row r="483" spans="1:10" ht="26.4" customHeight="1" x14ac:dyDescent="0.3">
      <c r="A483" s="59">
        <v>45904</v>
      </c>
      <c r="B483" s="70" t="s">
        <v>422</v>
      </c>
      <c r="C483" s="65" t="s">
        <v>420</v>
      </c>
      <c r="D483" s="61" t="s">
        <v>67</v>
      </c>
      <c r="E483" s="61" t="s">
        <v>491</v>
      </c>
      <c r="F483" s="62"/>
      <c r="G483" s="62"/>
      <c r="H483" s="77"/>
      <c r="I483" s="62"/>
      <c r="J483" s="52"/>
    </row>
    <row r="484" spans="1:10" ht="26.4" customHeight="1" x14ac:dyDescent="0.3">
      <c r="A484" s="59">
        <v>45901</v>
      </c>
      <c r="B484" s="55" t="s">
        <v>423</v>
      </c>
      <c r="C484" s="65" t="s">
        <v>12</v>
      </c>
      <c r="D484" s="61" t="s">
        <v>67</v>
      </c>
      <c r="E484" s="61" t="s">
        <v>698</v>
      </c>
      <c r="F484" s="62"/>
      <c r="G484" s="62"/>
      <c r="H484" s="77"/>
      <c r="I484" s="62"/>
      <c r="J484" s="52"/>
    </row>
    <row r="485" spans="1:10" ht="26.4" customHeight="1" x14ac:dyDescent="0.3">
      <c r="A485" s="59">
        <v>45912</v>
      </c>
      <c r="B485" s="70" t="s">
        <v>424</v>
      </c>
      <c r="C485" s="65" t="s">
        <v>272</v>
      </c>
      <c r="D485" s="61" t="s">
        <v>67</v>
      </c>
      <c r="E485" s="61" t="s">
        <v>668</v>
      </c>
      <c r="F485" s="62"/>
      <c r="G485" s="62"/>
      <c r="H485" s="77"/>
      <c r="I485" s="62"/>
      <c r="J485" s="52"/>
    </row>
    <row r="486" spans="1:10" ht="26.4" customHeight="1" x14ac:dyDescent="0.3">
      <c r="A486" s="59">
        <v>45908</v>
      </c>
      <c r="B486" s="70" t="s">
        <v>425</v>
      </c>
      <c r="C486" s="65" t="s">
        <v>427</v>
      </c>
      <c r="D486" s="61" t="s">
        <v>426</v>
      </c>
      <c r="E486" s="61" t="s">
        <v>699</v>
      </c>
      <c r="F486" s="62"/>
      <c r="G486" s="62"/>
      <c r="H486" s="77"/>
      <c r="I486" s="62"/>
      <c r="J486" s="52"/>
    </row>
    <row r="487" spans="1:10" ht="26.4" customHeight="1" x14ac:dyDescent="0.3">
      <c r="A487" s="59">
        <v>45908</v>
      </c>
      <c r="B487" s="70" t="s">
        <v>428</v>
      </c>
      <c r="C487" s="65" t="s">
        <v>414</v>
      </c>
      <c r="D487" s="61" t="s">
        <v>68</v>
      </c>
      <c r="E487" s="61" t="s">
        <v>541</v>
      </c>
      <c r="F487" s="62">
        <v>0</v>
      </c>
      <c r="G487" s="62"/>
      <c r="H487" s="63" t="s">
        <v>745</v>
      </c>
      <c r="I487" s="62"/>
      <c r="J487" s="52" t="s">
        <v>744</v>
      </c>
    </row>
    <row r="488" spans="1:10" ht="26.4" customHeight="1" x14ac:dyDescent="0.3">
      <c r="A488" s="59">
        <v>45909</v>
      </c>
      <c r="B488" s="70" t="s">
        <v>429</v>
      </c>
      <c r="C488" s="65" t="s">
        <v>414</v>
      </c>
      <c r="D488" s="61" t="s">
        <v>68</v>
      </c>
      <c r="E488" s="61" t="s">
        <v>541</v>
      </c>
      <c r="F488" s="62">
        <v>0</v>
      </c>
      <c r="G488" s="62"/>
      <c r="H488" s="63" t="s">
        <v>745</v>
      </c>
      <c r="I488" s="62"/>
      <c r="J488" s="52" t="s">
        <v>744</v>
      </c>
    </row>
    <row r="489" spans="1:10" ht="26.4" customHeight="1" x14ac:dyDescent="0.3">
      <c r="A489" s="59">
        <v>45911</v>
      </c>
      <c r="B489" s="70" t="s">
        <v>430</v>
      </c>
      <c r="C489" s="65" t="s">
        <v>105</v>
      </c>
      <c r="D489" s="61" t="s">
        <v>68</v>
      </c>
      <c r="E489" s="61" t="s">
        <v>700</v>
      </c>
      <c r="F489" s="62"/>
      <c r="G489" s="62"/>
      <c r="H489" s="77"/>
      <c r="I489" s="62"/>
      <c r="J489" s="52"/>
    </row>
    <row r="490" spans="1:10" ht="26.4" customHeight="1" x14ac:dyDescent="0.3">
      <c r="A490" s="59">
        <v>45911</v>
      </c>
      <c r="B490" s="70" t="s">
        <v>431</v>
      </c>
      <c r="C490" s="65" t="s">
        <v>105</v>
      </c>
      <c r="D490" s="61" t="s">
        <v>68</v>
      </c>
      <c r="E490" s="61" t="s">
        <v>701</v>
      </c>
      <c r="F490" s="62"/>
      <c r="G490" s="62"/>
      <c r="H490" s="77"/>
      <c r="I490" s="62"/>
      <c r="J490" s="52"/>
    </row>
    <row r="491" spans="1:10" ht="26.4" customHeight="1" x14ac:dyDescent="0.3">
      <c r="A491" s="59">
        <v>45911</v>
      </c>
      <c r="B491" s="70" t="s">
        <v>432</v>
      </c>
      <c r="C491" s="65" t="s">
        <v>193</v>
      </c>
      <c r="D491" s="61" t="s">
        <v>68</v>
      </c>
      <c r="E491" s="61" t="s">
        <v>702</v>
      </c>
      <c r="F491" s="62">
        <v>0</v>
      </c>
      <c r="G491" s="62"/>
      <c r="H491" s="63" t="s">
        <v>745</v>
      </c>
      <c r="I491" s="62"/>
      <c r="J491" s="52" t="s">
        <v>744</v>
      </c>
    </row>
    <row r="492" spans="1:10" ht="26.4" customHeight="1" x14ac:dyDescent="0.3">
      <c r="A492" s="59">
        <v>45911</v>
      </c>
      <c r="B492" s="70" t="s">
        <v>433</v>
      </c>
      <c r="C492" s="65" t="s">
        <v>20</v>
      </c>
      <c r="D492" s="61" t="s">
        <v>68</v>
      </c>
      <c r="E492" s="61" t="s">
        <v>703</v>
      </c>
      <c r="F492" s="62"/>
      <c r="G492" s="62"/>
      <c r="H492" s="77"/>
      <c r="I492" s="62"/>
      <c r="J492" s="52"/>
    </row>
    <row r="493" spans="1:10" ht="26.4" customHeight="1" x14ac:dyDescent="0.3">
      <c r="A493" s="59">
        <v>45912</v>
      </c>
      <c r="B493" s="70" t="s">
        <v>435</v>
      </c>
      <c r="C493" s="65" t="s">
        <v>434</v>
      </c>
      <c r="D493" s="61" t="s">
        <v>68</v>
      </c>
      <c r="E493" s="61" t="s">
        <v>704</v>
      </c>
      <c r="F493" s="62"/>
      <c r="G493" s="62"/>
      <c r="H493" s="77"/>
      <c r="I493" s="62"/>
      <c r="J493" s="52"/>
    </row>
    <row r="494" spans="1:10" ht="26.4" customHeight="1" x14ac:dyDescent="0.3">
      <c r="A494" s="59">
        <v>45915</v>
      </c>
      <c r="B494" s="70" t="s">
        <v>437</v>
      </c>
      <c r="C494" s="65" t="s">
        <v>436</v>
      </c>
      <c r="D494" s="61" t="s">
        <v>67</v>
      </c>
      <c r="E494" s="61" t="s">
        <v>705</v>
      </c>
      <c r="F494" s="62">
        <v>0</v>
      </c>
      <c r="G494" s="62"/>
      <c r="H494" s="63" t="s">
        <v>745</v>
      </c>
      <c r="I494" s="62"/>
      <c r="J494" s="52" t="s">
        <v>744</v>
      </c>
    </row>
    <row r="495" spans="1:10" ht="26.4" customHeight="1" x14ac:dyDescent="0.3">
      <c r="A495" s="59">
        <v>45915</v>
      </c>
      <c r="B495" s="70" t="s">
        <v>438</v>
      </c>
      <c r="C495" s="65" t="s">
        <v>436</v>
      </c>
      <c r="D495" s="61" t="s">
        <v>67</v>
      </c>
      <c r="E495" s="61" t="s">
        <v>706</v>
      </c>
      <c r="F495" s="62">
        <v>0</v>
      </c>
      <c r="G495" s="62"/>
      <c r="H495" s="63" t="s">
        <v>745</v>
      </c>
      <c r="I495" s="62"/>
      <c r="J495" s="52" t="s">
        <v>744</v>
      </c>
    </row>
    <row r="496" spans="1:10" ht="26.4" customHeight="1" x14ac:dyDescent="0.3">
      <c r="A496" s="59">
        <v>45915</v>
      </c>
      <c r="B496" s="70" t="s">
        <v>439</v>
      </c>
      <c r="C496" s="65" t="s">
        <v>436</v>
      </c>
      <c r="D496" s="61" t="s">
        <v>67</v>
      </c>
      <c r="E496" s="61" t="s">
        <v>707</v>
      </c>
      <c r="F496" s="62">
        <v>0</v>
      </c>
      <c r="G496" s="62"/>
      <c r="H496" s="63" t="s">
        <v>745</v>
      </c>
      <c r="I496" s="62"/>
      <c r="J496" s="52" t="s">
        <v>744</v>
      </c>
    </row>
    <row r="497" spans="1:10" ht="26.4" customHeight="1" x14ac:dyDescent="0.3">
      <c r="A497" s="59">
        <v>45915</v>
      </c>
      <c r="B497" s="70" t="s">
        <v>440</v>
      </c>
      <c r="C497" s="65" t="s">
        <v>111</v>
      </c>
      <c r="D497" s="61" t="s">
        <v>67</v>
      </c>
      <c r="E497" s="61" t="s">
        <v>708</v>
      </c>
      <c r="F497" s="62"/>
      <c r="G497" s="62"/>
      <c r="H497" s="77"/>
      <c r="I497" s="62"/>
      <c r="J497" s="52"/>
    </row>
    <row r="498" spans="1:10" ht="26.4" customHeight="1" x14ac:dyDescent="0.3">
      <c r="A498" s="59">
        <v>45915</v>
      </c>
      <c r="B498" s="70" t="s">
        <v>441</v>
      </c>
      <c r="C498" s="65" t="s">
        <v>100</v>
      </c>
      <c r="D498" s="61" t="s">
        <v>67</v>
      </c>
      <c r="E498" s="61" t="s">
        <v>553</v>
      </c>
      <c r="F498" s="62">
        <v>0</v>
      </c>
      <c r="G498" s="62"/>
      <c r="H498" s="63" t="s">
        <v>745</v>
      </c>
      <c r="I498" s="62"/>
      <c r="J498" s="52" t="s">
        <v>744</v>
      </c>
    </row>
    <row r="499" spans="1:10" ht="26.4" customHeight="1" x14ac:dyDescent="0.3">
      <c r="A499" s="59">
        <v>45897</v>
      </c>
      <c r="C499" s="65" t="s">
        <v>418</v>
      </c>
      <c r="D499" s="61" t="s">
        <v>67</v>
      </c>
      <c r="E499" s="61" t="s">
        <v>488</v>
      </c>
      <c r="F499" s="62">
        <v>4725</v>
      </c>
      <c r="G499" s="62"/>
      <c r="H499" s="52" t="s">
        <v>154</v>
      </c>
      <c r="I499" s="64" t="s">
        <v>747</v>
      </c>
      <c r="J499" s="63" t="s">
        <v>188</v>
      </c>
    </row>
    <row r="500" spans="1:10" ht="26.4" customHeight="1" x14ac:dyDescent="0.3">
      <c r="A500" s="59">
        <v>45917</v>
      </c>
      <c r="B500" s="70" t="s">
        <v>442</v>
      </c>
      <c r="C500" s="65" t="s">
        <v>418</v>
      </c>
      <c r="D500" s="61" t="s">
        <v>67</v>
      </c>
      <c r="E500" s="61" t="s">
        <v>658</v>
      </c>
      <c r="F500" s="62"/>
      <c r="G500" s="62"/>
      <c r="H500" s="77"/>
      <c r="I500" s="62"/>
      <c r="J500" s="52"/>
    </row>
    <row r="501" spans="1:10" ht="26.4" customHeight="1" x14ac:dyDescent="0.3">
      <c r="A501" s="59">
        <v>45917</v>
      </c>
      <c r="B501" s="70" t="s">
        <v>443</v>
      </c>
      <c r="C501" s="65" t="s">
        <v>182</v>
      </c>
      <c r="D501" s="61" t="s">
        <v>67</v>
      </c>
      <c r="E501" s="61" t="s">
        <v>709</v>
      </c>
      <c r="F501" s="62">
        <v>0</v>
      </c>
      <c r="G501" s="62"/>
      <c r="H501" s="63" t="s">
        <v>745</v>
      </c>
      <c r="I501" s="62"/>
      <c r="J501" s="52" t="s">
        <v>744</v>
      </c>
    </row>
    <row r="502" spans="1:10" ht="26.4" customHeight="1" x14ac:dyDescent="0.3">
      <c r="A502" s="59">
        <v>45917</v>
      </c>
      <c r="B502" s="70" t="s">
        <v>444</v>
      </c>
      <c r="C502" s="65" t="s">
        <v>361</v>
      </c>
      <c r="D502" s="61" t="s">
        <v>68</v>
      </c>
      <c r="E502" s="61" t="s">
        <v>710</v>
      </c>
      <c r="F502" s="62">
        <v>0</v>
      </c>
      <c r="G502" s="62"/>
      <c r="H502" s="63" t="s">
        <v>745</v>
      </c>
      <c r="I502" s="62"/>
      <c r="J502" s="52" t="s">
        <v>744</v>
      </c>
    </row>
    <row r="503" spans="1:10" ht="26.4" customHeight="1" x14ac:dyDescent="0.3">
      <c r="A503" s="59">
        <v>45917</v>
      </c>
      <c r="B503" s="70" t="s">
        <v>445</v>
      </c>
      <c r="C503" s="65" t="s">
        <v>361</v>
      </c>
      <c r="D503" s="61" t="s">
        <v>68</v>
      </c>
      <c r="E503" s="61" t="s">
        <v>711</v>
      </c>
      <c r="F503" s="62">
        <v>0</v>
      </c>
      <c r="G503" s="62"/>
      <c r="H503" s="63" t="s">
        <v>745</v>
      </c>
      <c r="I503" s="62"/>
      <c r="J503" s="52" t="s">
        <v>744</v>
      </c>
    </row>
    <row r="504" spans="1:10" ht="26.4" customHeight="1" x14ac:dyDescent="0.3">
      <c r="A504" s="59">
        <v>45918</v>
      </c>
      <c r="B504" s="70" t="s">
        <v>446</v>
      </c>
      <c r="C504" s="65" t="s">
        <v>414</v>
      </c>
      <c r="D504" s="61" t="s">
        <v>68</v>
      </c>
      <c r="E504" s="61" t="s">
        <v>712</v>
      </c>
      <c r="F504" s="62">
        <v>0</v>
      </c>
      <c r="G504" s="62"/>
      <c r="H504" s="63" t="s">
        <v>745</v>
      </c>
      <c r="I504" s="62"/>
      <c r="J504" s="52" t="s">
        <v>744</v>
      </c>
    </row>
    <row r="505" spans="1:10" ht="26.4" customHeight="1" x14ac:dyDescent="0.3">
      <c r="A505" s="59">
        <v>45897</v>
      </c>
      <c r="C505" s="65" t="s">
        <v>34</v>
      </c>
      <c r="D505" s="61" t="s">
        <v>67</v>
      </c>
      <c r="E505" s="61" t="s">
        <v>488</v>
      </c>
      <c r="F505" s="62">
        <v>12155</v>
      </c>
      <c r="G505" s="62"/>
      <c r="H505" s="52" t="s">
        <v>154</v>
      </c>
      <c r="I505" s="64" t="s">
        <v>747</v>
      </c>
      <c r="J505" s="63" t="s">
        <v>188</v>
      </c>
    </row>
    <row r="506" spans="1:10" ht="26.4" customHeight="1" x14ac:dyDescent="0.3">
      <c r="A506" s="59">
        <v>45922</v>
      </c>
      <c r="B506" s="70" t="s">
        <v>447</v>
      </c>
      <c r="C506" s="65" t="s">
        <v>105</v>
      </c>
      <c r="D506" s="61" t="s">
        <v>68</v>
      </c>
      <c r="E506" s="61" t="s">
        <v>660</v>
      </c>
      <c r="F506" s="62"/>
      <c r="G506" s="62"/>
      <c r="H506" s="77"/>
      <c r="I506" s="62"/>
      <c r="J506" s="52"/>
    </row>
    <row r="507" spans="1:10" ht="26.4" customHeight="1" x14ac:dyDescent="0.3">
      <c r="A507" s="59">
        <v>45919</v>
      </c>
      <c r="B507" s="70" t="s">
        <v>448</v>
      </c>
      <c r="C507" s="65" t="s">
        <v>450</v>
      </c>
      <c r="D507" s="61" t="s">
        <v>68</v>
      </c>
      <c r="E507" s="61" t="s">
        <v>713</v>
      </c>
      <c r="F507" s="62"/>
      <c r="G507" s="62"/>
      <c r="H507" s="77"/>
      <c r="I507" s="62"/>
      <c r="J507" s="52"/>
    </row>
    <row r="508" spans="1:10" ht="26.4" customHeight="1" x14ac:dyDescent="0.3">
      <c r="A508" s="59">
        <v>45919</v>
      </c>
      <c r="B508" s="70" t="s">
        <v>449</v>
      </c>
      <c r="C508" s="65" t="s">
        <v>450</v>
      </c>
      <c r="D508" s="61" t="s">
        <v>68</v>
      </c>
      <c r="E508" s="61" t="s">
        <v>714</v>
      </c>
      <c r="F508" s="62"/>
      <c r="G508" s="62"/>
      <c r="H508" s="77"/>
      <c r="I508" s="62"/>
      <c r="J508" s="52"/>
    </row>
    <row r="509" spans="1:10" ht="26.4" customHeight="1" x14ac:dyDescent="0.3">
      <c r="A509" s="59">
        <v>45920</v>
      </c>
      <c r="C509" s="65" t="s">
        <v>48</v>
      </c>
      <c r="D509" s="61" t="s">
        <v>67</v>
      </c>
      <c r="E509" s="61" t="s">
        <v>488</v>
      </c>
      <c r="F509" s="62">
        <v>3711.75</v>
      </c>
      <c r="G509" s="62"/>
      <c r="H509" s="52" t="s">
        <v>154</v>
      </c>
      <c r="I509" s="64" t="s">
        <v>747</v>
      </c>
      <c r="J509" s="63" t="s">
        <v>188</v>
      </c>
    </row>
    <row r="510" spans="1:10" ht="26.4" customHeight="1" x14ac:dyDescent="0.3">
      <c r="A510" s="59">
        <v>45915</v>
      </c>
      <c r="B510" s="70" t="s">
        <v>441</v>
      </c>
      <c r="C510" s="65" t="s">
        <v>100</v>
      </c>
      <c r="D510" s="61" t="s">
        <v>67</v>
      </c>
      <c r="E510" s="61" t="s">
        <v>488</v>
      </c>
      <c r="F510" s="62">
        <v>945</v>
      </c>
      <c r="G510" s="62"/>
      <c r="H510" s="52" t="s">
        <v>154</v>
      </c>
      <c r="I510" s="64" t="s">
        <v>747</v>
      </c>
      <c r="J510" s="63" t="s">
        <v>188</v>
      </c>
    </row>
    <row r="511" spans="1:10" ht="26.4" customHeight="1" x14ac:dyDescent="0.3">
      <c r="A511" s="59">
        <v>45908</v>
      </c>
      <c r="B511" s="70" t="s">
        <v>425</v>
      </c>
      <c r="C511" s="65" t="s">
        <v>427</v>
      </c>
      <c r="D511" s="61" t="s">
        <v>426</v>
      </c>
      <c r="E511" s="61" t="s">
        <v>488</v>
      </c>
      <c r="F511" s="62">
        <v>10158</v>
      </c>
      <c r="G511" s="62"/>
      <c r="H511" s="52" t="s">
        <v>154</v>
      </c>
      <c r="I511" s="64" t="s">
        <v>747</v>
      </c>
      <c r="J511" s="63" t="s">
        <v>188</v>
      </c>
    </row>
    <row r="512" spans="1:10" ht="26.4" customHeight="1" x14ac:dyDescent="0.3">
      <c r="A512" s="59">
        <v>45916</v>
      </c>
      <c r="C512" s="65" t="s">
        <v>37</v>
      </c>
      <c r="D512" s="61" t="s">
        <v>68</v>
      </c>
      <c r="E512" s="61" t="s">
        <v>488</v>
      </c>
      <c r="F512" s="62">
        <v>2389</v>
      </c>
      <c r="G512" s="62"/>
      <c r="H512" s="52" t="s">
        <v>154</v>
      </c>
      <c r="I512" s="64" t="s">
        <v>747</v>
      </c>
      <c r="J512" s="63" t="s">
        <v>188</v>
      </c>
    </row>
    <row r="513" spans="1:10" ht="26.4" customHeight="1" x14ac:dyDescent="0.3">
      <c r="A513" s="59">
        <v>45912</v>
      </c>
      <c r="C513" s="65" t="s">
        <v>434</v>
      </c>
      <c r="D513" s="61" t="s">
        <v>68</v>
      </c>
      <c r="E513" s="61" t="s">
        <v>488</v>
      </c>
      <c r="F513" s="62">
        <v>12065</v>
      </c>
      <c r="G513" s="62"/>
      <c r="H513" s="52" t="s">
        <v>154</v>
      </c>
      <c r="I513" s="64" t="s">
        <v>747</v>
      </c>
      <c r="J513" s="63" t="s">
        <v>188</v>
      </c>
    </row>
    <row r="514" spans="1:10" ht="26.4" customHeight="1" x14ac:dyDescent="0.3">
      <c r="A514" s="59">
        <v>45909</v>
      </c>
      <c r="C514" s="65" t="s">
        <v>105</v>
      </c>
      <c r="D514" s="61" t="s">
        <v>68</v>
      </c>
      <c r="E514" s="61" t="s">
        <v>488</v>
      </c>
      <c r="F514" s="62">
        <v>14039</v>
      </c>
      <c r="G514" s="62"/>
      <c r="H514" s="52" t="s">
        <v>154</v>
      </c>
      <c r="I514" s="64" t="s">
        <v>747</v>
      </c>
      <c r="J514" s="63" t="s">
        <v>188</v>
      </c>
    </row>
    <row r="515" spans="1:10" ht="26.4" customHeight="1" x14ac:dyDescent="0.3">
      <c r="A515" s="59">
        <v>45922</v>
      </c>
      <c r="B515" s="70" t="s">
        <v>432</v>
      </c>
      <c r="C515" s="65" t="s">
        <v>193</v>
      </c>
      <c r="D515" s="61" t="s">
        <v>68</v>
      </c>
      <c r="E515" s="61" t="s">
        <v>488</v>
      </c>
      <c r="F515" s="62">
        <v>7400</v>
      </c>
      <c r="G515" s="62"/>
      <c r="H515" s="52" t="s">
        <v>154</v>
      </c>
      <c r="I515" s="64" t="s">
        <v>747</v>
      </c>
      <c r="J515" s="63" t="s">
        <v>188</v>
      </c>
    </row>
    <row r="516" spans="1:10" ht="26.4" customHeight="1" x14ac:dyDescent="0.3">
      <c r="A516" s="59">
        <v>45930</v>
      </c>
      <c r="B516" s="70" t="s">
        <v>451</v>
      </c>
      <c r="C516" s="65" t="s">
        <v>361</v>
      </c>
      <c r="D516" s="61" t="s">
        <v>68</v>
      </c>
      <c r="E516" s="61" t="s">
        <v>715</v>
      </c>
      <c r="F516" s="62">
        <v>0</v>
      </c>
      <c r="G516" s="62"/>
      <c r="H516" s="63" t="s">
        <v>745</v>
      </c>
      <c r="I516" s="62"/>
      <c r="J516" s="52" t="s">
        <v>744</v>
      </c>
    </row>
    <row r="517" spans="1:10" ht="26.4" customHeight="1" x14ac:dyDescent="0.3">
      <c r="A517" s="59">
        <v>45930</v>
      </c>
      <c r="B517" s="70" t="s">
        <v>453</v>
      </c>
      <c r="C517" s="65" t="s">
        <v>452</v>
      </c>
      <c r="D517" s="61" t="s">
        <v>68</v>
      </c>
      <c r="E517" s="61" t="s">
        <v>716</v>
      </c>
      <c r="F517" s="62">
        <v>0</v>
      </c>
      <c r="G517" s="62"/>
      <c r="H517" s="63" t="s">
        <v>745</v>
      </c>
      <c r="I517" s="62"/>
      <c r="J517" s="52" t="s">
        <v>744</v>
      </c>
    </row>
    <row r="518" spans="1:10" ht="26.4" customHeight="1" x14ac:dyDescent="0.3">
      <c r="A518" s="59">
        <v>45930</v>
      </c>
      <c r="B518" s="70" t="s">
        <v>454</v>
      </c>
      <c r="C518" s="65" t="s">
        <v>452</v>
      </c>
      <c r="D518" s="61" t="s">
        <v>68</v>
      </c>
      <c r="E518" s="61" t="s">
        <v>717</v>
      </c>
      <c r="F518" s="62">
        <v>0</v>
      </c>
      <c r="G518" s="62"/>
      <c r="H518" s="63" t="s">
        <v>745</v>
      </c>
      <c r="I518" s="62"/>
      <c r="J518" s="52" t="s">
        <v>744</v>
      </c>
    </row>
    <row r="519" spans="1:10" ht="26.4" customHeight="1" x14ac:dyDescent="0.3">
      <c r="A519" s="59">
        <v>45930</v>
      </c>
      <c r="B519" s="70" t="s">
        <v>455</v>
      </c>
      <c r="C519" s="65" t="s">
        <v>452</v>
      </c>
      <c r="D519" s="61" t="s">
        <v>68</v>
      </c>
      <c r="E519" s="61" t="s">
        <v>718</v>
      </c>
      <c r="F519" s="62">
        <v>0</v>
      </c>
      <c r="G519" s="62"/>
      <c r="H519" s="63" t="s">
        <v>745</v>
      </c>
      <c r="I519" s="62"/>
      <c r="J519" s="52" t="s">
        <v>744</v>
      </c>
    </row>
    <row r="520" spans="1:10" ht="26.4" customHeight="1" x14ac:dyDescent="0.3">
      <c r="A520" s="59">
        <v>45923</v>
      </c>
      <c r="B520" s="70" t="s">
        <v>464</v>
      </c>
      <c r="C520" s="65" t="s">
        <v>34</v>
      </c>
      <c r="D520" s="61" t="s">
        <v>67</v>
      </c>
      <c r="E520" s="61" t="s">
        <v>719</v>
      </c>
      <c r="F520" s="62">
        <v>0</v>
      </c>
      <c r="G520" s="62"/>
      <c r="H520" s="63" t="s">
        <v>745</v>
      </c>
      <c r="I520" s="62"/>
      <c r="J520" s="52" t="s">
        <v>744</v>
      </c>
    </row>
    <row r="521" spans="1:10" ht="26.4" customHeight="1" x14ac:dyDescent="0.3">
      <c r="A521" s="59">
        <v>45923</v>
      </c>
      <c r="B521" s="70" t="s">
        <v>465</v>
      </c>
      <c r="C521" s="65" t="s">
        <v>34</v>
      </c>
      <c r="D521" s="61" t="s">
        <v>67</v>
      </c>
      <c r="E521" s="61" t="s">
        <v>720</v>
      </c>
      <c r="F521" s="62">
        <v>0</v>
      </c>
      <c r="G521" s="62"/>
      <c r="H521" s="63" t="s">
        <v>745</v>
      </c>
      <c r="I521" s="62"/>
      <c r="J521" s="52" t="s">
        <v>744</v>
      </c>
    </row>
    <row r="522" spans="1:10" ht="26.4" customHeight="1" x14ac:dyDescent="0.3">
      <c r="A522" s="59">
        <v>45930</v>
      </c>
      <c r="B522" s="70" t="s">
        <v>456</v>
      </c>
      <c r="C522" s="65" t="s">
        <v>34</v>
      </c>
      <c r="D522" s="61" t="s">
        <v>67</v>
      </c>
      <c r="E522" s="61" t="s">
        <v>721</v>
      </c>
      <c r="F522" s="62">
        <v>0</v>
      </c>
      <c r="G522" s="62"/>
      <c r="H522" s="63" t="s">
        <v>745</v>
      </c>
      <c r="I522" s="62"/>
      <c r="J522" s="52" t="s">
        <v>744</v>
      </c>
    </row>
    <row r="523" spans="1:10" ht="26.4" customHeight="1" x14ac:dyDescent="0.3">
      <c r="A523" s="59">
        <v>45927</v>
      </c>
      <c r="B523" s="70" t="s">
        <v>458</v>
      </c>
      <c r="C523" s="65" t="s">
        <v>457</v>
      </c>
      <c r="D523" s="61" t="s">
        <v>67</v>
      </c>
      <c r="E523" s="61" t="s">
        <v>722</v>
      </c>
      <c r="F523" s="62">
        <v>0</v>
      </c>
      <c r="G523" s="62"/>
      <c r="H523" s="63" t="s">
        <v>745</v>
      </c>
      <c r="I523" s="62"/>
      <c r="J523" s="52" t="s">
        <v>744</v>
      </c>
    </row>
    <row r="524" spans="1:10" ht="26.4" customHeight="1" x14ac:dyDescent="0.3">
      <c r="A524" s="59">
        <v>45927</v>
      </c>
      <c r="B524" s="70" t="s">
        <v>459</v>
      </c>
      <c r="C524" s="65" t="s">
        <v>457</v>
      </c>
      <c r="D524" s="61" t="s">
        <v>67</v>
      </c>
      <c r="E524" s="61" t="s">
        <v>723</v>
      </c>
      <c r="F524" s="62">
        <v>0</v>
      </c>
      <c r="G524" s="62"/>
      <c r="H524" s="63" t="s">
        <v>745</v>
      </c>
      <c r="I524" s="62"/>
      <c r="J524" s="52" t="s">
        <v>744</v>
      </c>
    </row>
    <row r="525" spans="1:10" ht="26.4" customHeight="1" x14ac:dyDescent="0.3">
      <c r="A525" s="59">
        <v>45926</v>
      </c>
      <c r="B525" s="70" t="s">
        <v>460</v>
      </c>
      <c r="C525" s="65" t="s">
        <v>461</v>
      </c>
      <c r="D525" s="61" t="s">
        <v>67</v>
      </c>
      <c r="E525" s="61" t="s">
        <v>724</v>
      </c>
      <c r="F525" s="62">
        <v>0</v>
      </c>
      <c r="G525" s="62"/>
      <c r="H525" s="63" t="s">
        <v>745</v>
      </c>
      <c r="I525" s="62"/>
      <c r="J525" s="52" t="s">
        <v>744</v>
      </c>
    </row>
    <row r="526" spans="1:10" ht="26.4" customHeight="1" x14ac:dyDescent="0.3">
      <c r="A526" s="59">
        <v>45926</v>
      </c>
      <c r="B526" s="70" t="s">
        <v>460</v>
      </c>
      <c r="C526" s="65" t="s">
        <v>461</v>
      </c>
      <c r="D526" s="61" t="s">
        <v>67</v>
      </c>
      <c r="E526" s="61" t="s">
        <v>725</v>
      </c>
      <c r="F526" s="62">
        <v>0</v>
      </c>
      <c r="G526" s="62"/>
      <c r="H526" s="63" t="s">
        <v>745</v>
      </c>
      <c r="I526" s="62"/>
      <c r="J526" s="52" t="s">
        <v>744</v>
      </c>
    </row>
    <row r="527" spans="1:10" ht="26.4" customHeight="1" x14ac:dyDescent="0.3">
      <c r="A527" s="59">
        <v>45929</v>
      </c>
      <c r="B527" s="70" t="s">
        <v>462</v>
      </c>
      <c r="C527" s="65" t="s">
        <v>64</v>
      </c>
      <c r="D527" s="61" t="s">
        <v>67</v>
      </c>
      <c r="E527" s="61" t="s">
        <v>499</v>
      </c>
      <c r="F527" s="62">
        <v>0</v>
      </c>
      <c r="G527" s="62"/>
      <c r="H527" s="63" t="s">
        <v>745</v>
      </c>
      <c r="I527" s="62"/>
      <c r="J527" s="52" t="s">
        <v>744</v>
      </c>
    </row>
    <row r="528" spans="1:10" ht="26.4" customHeight="1" x14ac:dyDescent="0.3">
      <c r="A528" s="59">
        <v>45929</v>
      </c>
      <c r="B528" s="70" t="s">
        <v>463</v>
      </c>
      <c r="C528" s="65" t="s">
        <v>64</v>
      </c>
      <c r="D528" s="61" t="s">
        <v>67</v>
      </c>
      <c r="E528" s="61" t="s">
        <v>726</v>
      </c>
      <c r="F528" s="62">
        <v>0</v>
      </c>
      <c r="G528" s="62"/>
      <c r="H528" s="63" t="s">
        <v>745</v>
      </c>
      <c r="I528" s="62"/>
      <c r="J528" s="52" t="s">
        <v>744</v>
      </c>
    </row>
    <row r="529" spans="1:10" ht="26.4" customHeight="1" x14ac:dyDescent="0.3">
      <c r="A529" s="59">
        <v>45930</v>
      </c>
      <c r="C529" s="65" t="s">
        <v>361</v>
      </c>
      <c r="D529" s="61" t="s">
        <v>68</v>
      </c>
      <c r="E529" s="61" t="s">
        <v>488</v>
      </c>
      <c r="F529" s="62">
        <v>2887.5</v>
      </c>
      <c r="G529" s="62"/>
      <c r="H529" s="52" t="s">
        <v>154</v>
      </c>
      <c r="I529" s="64" t="s">
        <v>747</v>
      </c>
      <c r="J529" s="63" t="s">
        <v>188</v>
      </c>
    </row>
    <row r="530" spans="1:10" ht="26.4" customHeight="1" x14ac:dyDescent="0.3">
      <c r="A530" s="79">
        <v>45947</v>
      </c>
      <c r="C530" s="65" t="s">
        <v>466</v>
      </c>
      <c r="D530" s="61" t="s">
        <v>467</v>
      </c>
      <c r="E530" s="61" t="s">
        <v>727</v>
      </c>
      <c r="F530" s="62">
        <v>0</v>
      </c>
      <c r="G530" s="62"/>
      <c r="H530" s="63" t="s">
        <v>745</v>
      </c>
      <c r="I530" s="62"/>
      <c r="J530" s="52" t="s">
        <v>744</v>
      </c>
    </row>
    <row r="531" spans="1:10" ht="26.4" customHeight="1" x14ac:dyDescent="0.3">
      <c r="A531" s="59">
        <v>45946</v>
      </c>
      <c r="B531" s="70" t="s">
        <v>468</v>
      </c>
      <c r="C531" s="65" t="s">
        <v>37</v>
      </c>
      <c r="D531" s="61" t="s">
        <v>68</v>
      </c>
      <c r="E531" s="61" t="s">
        <v>728</v>
      </c>
      <c r="F531" s="62">
        <v>0</v>
      </c>
      <c r="G531" s="62"/>
      <c r="H531" s="63" t="s">
        <v>745</v>
      </c>
      <c r="I531" s="62"/>
      <c r="J531" s="52" t="s">
        <v>744</v>
      </c>
    </row>
    <row r="532" spans="1:10" ht="26.4" customHeight="1" x14ac:dyDescent="0.3">
      <c r="A532" s="59">
        <v>45946</v>
      </c>
      <c r="B532" s="70" t="s">
        <v>469</v>
      </c>
      <c r="C532" s="65" t="s">
        <v>105</v>
      </c>
      <c r="D532" s="61" t="s">
        <v>68</v>
      </c>
      <c r="E532" s="61" t="s">
        <v>729</v>
      </c>
      <c r="F532" s="62">
        <v>0</v>
      </c>
      <c r="G532" s="62"/>
      <c r="H532" s="63" t="s">
        <v>745</v>
      </c>
      <c r="I532" s="62"/>
      <c r="J532" s="52" t="s">
        <v>744</v>
      </c>
    </row>
    <row r="533" spans="1:10" ht="26.4" customHeight="1" x14ac:dyDescent="0.3">
      <c r="A533" s="59">
        <v>45946</v>
      </c>
      <c r="B533" s="70" t="s">
        <v>470</v>
      </c>
      <c r="C533" s="65" t="s">
        <v>471</v>
      </c>
      <c r="D533" s="61" t="s">
        <v>67</v>
      </c>
      <c r="E533" s="61" t="s">
        <v>730</v>
      </c>
      <c r="F533" s="62">
        <v>0</v>
      </c>
      <c r="G533" s="62"/>
      <c r="H533" s="63" t="s">
        <v>745</v>
      </c>
      <c r="I533" s="62"/>
      <c r="J533" s="52" t="s">
        <v>744</v>
      </c>
    </row>
    <row r="534" spans="1:10" ht="26.4" customHeight="1" x14ac:dyDescent="0.3">
      <c r="A534" s="59">
        <v>45943</v>
      </c>
      <c r="B534" s="70" t="s">
        <v>472</v>
      </c>
      <c r="C534" s="65" t="s">
        <v>34</v>
      </c>
      <c r="D534" s="61" t="s">
        <v>67</v>
      </c>
      <c r="E534" s="61" t="s">
        <v>731</v>
      </c>
      <c r="F534" s="62">
        <v>0</v>
      </c>
      <c r="G534" s="62"/>
      <c r="H534" s="63" t="s">
        <v>745</v>
      </c>
      <c r="I534" s="62"/>
      <c r="J534" s="52" t="s">
        <v>744</v>
      </c>
    </row>
    <row r="535" spans="1:10" ht="26.4" customHeight="1" x14ac:dyDescent="0.3">
      <c r="A535" s="59">
        <v>45940</v>
      </c>
      <c r="B535" s="70" t="s">
        <v>473</v>
      </c>
      <c r="C535" s="65" t="s">
        <v>81</v>
      </c>
      <c r="D535" s="61" t="s">
        <v>68</v>
      </c>
      <c r="E535" s="61" t="s">
        <v>732</v>
      </c>
      <c r="F535" s="62">
        <v>0</v>
      </c>
      <c r="G535" s="62"/>
      <c r="H535" s="63" t="s">
        <v>745</v>
      </c>
      <c r="I535" s="62"/>
      <c r="J535" s="52" t="s">
        <v>744</v>
      </c>
    </row>
    <row r="536" spans="1:10" ht="26.4" customHeight="1" x14ac:dyDescent="0.3">
      <c r="A536" s="59">
        <v>45939</v>
      </c>
      <c r="B536" s="70" t="s">
        <v>474</v>
      </c>
      <c r="C536" s="65" t="s">
        <v>170</v>
      </c>
      <c r="D536" s="61" t="s">
        <v>68</v>
      </c>
      <c r="E536" s="61" t="s">
        <v>733</v>
      </c>
      <c r="F536" s="62">
        <v>0</v>
      </c>
      <c r="G536" s="62"/>
      <c r="H536" s="63" t="s">
        <v>745</v>
      </c>
      <c r="I536" s="62"/>
      <c r="J536" s="52" t="s">
        <v>744</v>
      </c>
    </row>
    <row r="537" spans="1:10" ht="26.4" customHeight="1" x14ac:dyDescent="0.3">
      <c r="A537" s="59">
        <v>45939</v>
      </c>
      <c r="B537" s="70" t="s">
        <v>475</v>
      </c>
      <c r="C537" s="65" t="s">
        <v>105</v>
      </c>
      <c r="D537" s="61" t="s">
        <v>68</v>
      </c>
      <c r="E537" s="61" t="s">
        <v>517</v>
      </c>
      <c r="F537" s="62">
        <v>0</v>
      </c>
      <c r="G537" s="62"/>
      <c r="H537" s="63" t="s">
        <v>745</v>
      </c>
      <c r="I537" s="62"/>
      <c r="J537" s="52" t="s">
        <v>744</v>
      </c>
    </row>
    <row r="538" spans="1:10" ht="26.4" customHeight="1" x14ac:dyDescent="0.3">
      <c r="A538" s="59">
        <v>45939</v>
      </c>
      <c r="B538" s="70" t="s">
        <v>476</v>
      </c>
      <c r="C538" s="65" t="s">
        <v>477</v>
      </c>
      <c r="D538" s="61" t="s">
        <v>68</v>
      </c>
      <c r="E538" s="61" t="s">
        <v>703</v>
      </c>
      <c r="F538" s="62">
        <v>0</v>
      </c>
      <c r="G538" s="62"/>
      <c r="H538" s="63" t="s">
        <v>745</v>
      </c>
      <c r="I538" s="62"/>
      <c r="J538" s="52" t="s">
        <v>744</v>
      </c>
    </row>
    <row r="539" spans="1:10" ht="26.4" customHeight="1" x14ac:dyDescent="0.3">
      <c r="A539" s="59">
        <v>45937</v>
      </c>
      <c r="B539" s="70" t="s">
        <v>478</v>
      </c>
      <c r="C539" s="65" t="s">
        <v>81</v>
      </c>
      <c r="D539" s="61" t="s">
        <v>68</v>
      </c>
      <c r="E539" s="61" t="s">
        <v>734</v>
      </c>
      <c r="F539" s="62">
        <v>0</v>
      </c>
      <c r="G539" s="62"/>
      <c r="H539" s="63" t="s">
        <v>745</v>
      </c>
      <c r="I539" s="62"/>
      <c r="J539" s="52" t="s">
        <v>744</v>
      </c>
    </row>
    <row r="540" spans="1:10" ht="26.4" customHeight="1" x14ac:dyDescent="0.3">
      <c r="A540" s="59">
        <v>45937</v>
      </c>
      <c r="B540" s="70" t="s">
        <v>479</v>
      </c>
      <c r="C540" s="65" t="s">
        <v>361</v>
      </c>
      <c r="D540" s="61" t="s">
        <v>68</v>
      </c>
      <c r="E540" s="61" t="s">
        <v>735</v>
      </c>
      <c r="F540" s="62">
        <v>0</v>
      </c>
      <c r="G540" s="62"/>
      <c r="H540" s="63" t="s">
        <v>745</v>
      </c>
      <c r="I540" s="62"/>
      <c r="J540" s="52" t="s">
        <v>744</v>
      </c>
    </row>
    <row r="541" spans="1:10" ht="26.4" customHeight="1" x14ac:dyDescent="0.3">
      <c r="A541" s="59">
        <v>45936</v>
      </c>
      <c r="B541" s="70" t="s">
        <v>480</v>
      </c>
      <c r="C541" s="65" t="s">
        <v>342</v>
      </c>
      <c r="D541" s="61" t="s">
        <v>67</v>
      </c>
      <c r="E541" s="61" t="s">
        <v>736</v>
      </c>
      <c r="F541" s="62">
        <v>0</v>
      </c>
      <c r="G541" s="62"/>
      <c r="H541" s="63" t="s">
        <v>745</v>
      </c>
      <c r="I541" s="62"/>
      <c r="J541" s="52" t="s">
        <v>744</v>
      </c>
    </row>
    <row r="542" spans="1:10" s="65" customFormat="1" ht="26.4" customHeight="1" x14ac:dyDescent="0.3">
      <c r="B542" s="65" t="s">
        <v>42</v>
      </c>
      <c r="F542" s="80"/>
      <c r="G542" s="80"/>
      <c r="H542" s="81"/>
      <c r="I542" s="80"/>
      <c r="J542" s="82"/>
    </row>
    <row r="543" spans="1:10" ht="26.4" customHeight="1" x14ac:dyDescent="0.3">
      <c r="J543" s="82"/>
    </row>
    <row r="544" spans="1:10" ht="26.4" customHeight="1" x14ac:dyDescent="0.3">
      <c r="J544" s="85"/>
    </row>
    <row r="545" spans="1:10" ht="26.4" customHeight="1" x14ac:dyDescent="0.3">
      <c r="J545" s="82"/>
    </row>
    <row r="546" spans="1:10" ht="26.4" customHeight="1" x14ac:dyDescent="0.3">
      <c r="J546" s="82"/>
    </row>
    <row r="547" spans="1:10" ht="26.4" customHeight="1" x14ac:dyDescent="0.3">
      <c r="A547" s="70"/>
      <c r="J547" s="82"/>
    </row>
  </sheetData>
  <autoFilter ref="A1:J542" xr:uid="{00000000-0001-0000-0000-000000000000}"/>
  <dataValidations count="5">
    <dataValidation allowBlank="1" showInputMessage="1" showErrorMessage="1" prompt="Enter Date in this column under this heading" sqref="A1" xr:uid="{00000000-0002-0000-0000-000003000000}"/>
    <dataValidation allowBlank="1" showInputMessage="1" showErrorMessage="1" prompt="Enter Customer Name in this column under this heading" sqref="C1" xr:uid="{00000000-0002-0000-0000-000005000000}"/>
    <dataValidation allowBlank="1" showInputMessage="1" showErrorMessage="1" prompt="Enter Invoice number in this column under this heading. Use heading filters to find specific enteries" sqref="B1" xr:uid="{00000000-0002-0000-0000-000002000000}"/>
    <dataValidation allowBlank="1" showInputMessage="1" showErrorMessage="1" prompt="Enter Date Paid in this column under this heading" sqref="J1" xr:uid="{00000000-0002-0000-0000-000009000000}"/>
    <dataValidation allowBlank="1" showInputMessage="1" showErrorMessage="1" prompt="Enter Payment Due date in this column under this heading" sqref="D1:I1" xr:uid="{00000000-0002-0000-0000-000004000000}"/>
  </dataValidations>
  <hyperlinks>
    <hyperlink ref="B484" r:id="rId1" xr:uid="{CFD992A2-87FC-4226-B303-5AD6431D88D2}"/>
    <hyperlink ref="B480" r:id="rId2" xr:uid="{7F1A4658-12E7-4850-A064-A6B90AE12F9C}"/>
    <hyperlink ref="B477" r:id="rId3" xr:uid="{9617BA4F-66FA-4349-A518-52697A0D18B1}"/>
    <hyperlink ref="B467" r:id="rId4" xr:uid="{41D975F9-D785-4BC2-AF83-C0DFCF085431}"/>
    <hyperlink ref="B468" r:id="rId5" xr:uid="{38727BFD-3CA1-448A-A9C8-B1A3B6E4D62E}"/>
    <hyperlink ref="B463" r:id="rId6" xr:uid="{7E6BF8F4-C7A4-4617-83AD-D0B6B261D91D}"/>
    <hyperlink ref="B475" r:id="rId7" display="SI-25-07-152" xr:uid="{F6AF1254-6CDE-4B2D-B90F-C567F4BAEFC6}"/>
    <hyperlink ref="B404" r:id="rId8" xr:uid="{1D82FF7F-CF0E-4E17-8A14-DA91E64E26AD}"/>
    <hyperlink ref="B473" r:id="rId9" xr:uid="{46A67977-88A3-4B35-8C9D-4F980D603C7D}"/>
    <hyperlink ref="B466" r:id="rId10" xr:uid="{881F36E4-76B7-449F-A47F-0F41CC9D3928}"/>
    <hyperlink ref="B465" r:id="rId11" xr:uid="{A1F3045D-A71F-45B7-9AC3-87167B7B9E49}"/>
    <hyperlink ref="B462" r:id="rId12" xr:uid="{29569C35-3C23-4F49-8F93-F7723D5882AF}"/>
    <hyperlink ref="B458" r:id="rId13" xr:uid="{B032C02E-E428-4FE3-8CDA-64C7FB21356D}"/>
    <hyperlink ref="B457" r:id="rId14" xr:uid="{01CC3E83-1841-4C35-9ADF-0A6EE2D7A5AB}"/>
    <hyperlink ref="B456" r:id="rId15" xr:uid="{3123A591-6C74-4A17-AAD9-DB3F28F62AD1}"/>
    <hyperlink ref="B454" r:id="rId16" xr:uid="{281F02D9-B7E1-4402-9038-60D945F4DC25}"/>
    <hyperlink ref="B453" r:id="rId17" xr:uid="{CC0BB3AF-E80C-49DA-A38F-24FDCD0133C0}"/>
    <hyperlink ref="B450" r:id="rId18" xr:uid="{F977C7D0-EF92-48E4-8EF1-A30BE8A8B730}"/>
    <hyperlink ref="B449" r:id="rId19" xr:uid="{8F580FC4-4521-49E0-ACE3-C549AB73F34D}"/>
    <hyperlink ref="B448" r:id="rId20" xr:uid="{4BF47A01-08E1-42D5-AC3F-2EAC516956B0}"/>
    <hyperlink ref="B447" r:id="rId21" xr:uid="{5E71D0E2-A4F1-4ED9-B91B-666EACE7EFF3}"/>
    <hyperlink ref="B445" r:id="rId22" xr:uid="{9AA43ECB-7DF6-44D6-B778-CB55F57CF369}"/>
    <hyperlink ref="B444" r:id="rId23" xr:uid="{9D4ACCFA-2302-46FC-A6F2-C7B035D853B8}"/>
    <hyperlink ref="B442" r:id="rId24" xr:uid="{8CE4E8E9-4C0A-476D-8181-F2DA88D75902}"/>
    <hyperlink ref="B441" r:id="rId25" xr:uid="{AA8F9D16-A932-445D-BBB3-BE2C3FA0C5D7}"/>
    <hyperlink ref="B439" r:id="rId26" xr:uid="{B009B55D-D1AA-475E-9626-05E8180A4797}"/>
    <hyperlink ref="B438" r:id="rId27" xr:uid="{A1C1CE67-41EC-4698-808B-EFAA7238729E}"/>
    <hyperlink ref="B437" r:id="rId28" xr:uid="{3C76B81A-0880-41F0-9239-02E7355F26FC}"/>
    <hyperlink ref="B436" r:id="rId29" xr:uid="{47553A08-BCE6-4EE0-B470-CC5FF734C256}"/>
    <hyperlink ref="B434" r:id="rId30" xr:uid="{846FAA20-BF73-4A22-A5CB-98A6B9AF4135}"/>
    <hyperlink ref="B433" r:id="rId31" xr:uid="{409A2246-899B-41B2-BDDB-CFEBE53C31AB}"/>
    <hyperlink ref="B432" r:id="rId32" xr:uid="{156799F4-F46E-4563-B269-081770C9AFF0}"/>
    <hyperlink ref="B431" r:id="rId33" xr:uid="{CF33FD4B-B814-4828-900C-B702C69E3BCF}"/>
    <hyperlink ref="B428" r:id="rId34" xr:uid="{0114E8EC-600E-4398-8F10-D2480D15133E}"/>
    <hyperlink ref="B427" r:id="rId35" xr:uid="{B8FD1974-38C3-4586-A5C7-6135E7A15A73}"/>
    <hyperlink ref="B426" r:id="rId36" xr:uid="{9658D9F4-075A-4D3F-80EA-657B1DFECEA4}"/>
    <hyperlink ref="B425" r:id="rId37" xr:uid="{C5446633-D16D-4B14-A825-AAED7302EE44}"/>
    <hyperlink ref="B424" r:id="rId38" xr:uid="{1C71BB1B-032C-446F-B686-7D980286007D}"/>
    <hyperlink ref="B409" r:id="rId39" xr:uid="{3FDBB1B2-8C34-43C0-8E8C-A10D3B5EF3E0}"/>
    <hyperlink ref="B423" r:id="rId40" xr:uid="{2228FEAE-320C-4E4E-8D0B-FFD5CB0C0725}"/>
    <hyperlink ref="B422" r:id="rId41" xr:uid="{52762BCA-9450-4193-A5A4-E82F44D69750}"/>
    <hyperlink ref="B420" r:id="rId42" xr:uid="{E10A88DC-3F0C-425B-A945-30B0583EF78A}"/>
    <hyperlink ref="B417" r:id="rId43" xr:uid="{9FAB95B5-C50D-4AB8-A756-1CD9547D9F43}"/>
    <hyperlink ref="B418" r:id="rId44" xr:uid="{90CC0013-E998-4832-9D1E-BB58CEB885B8}"/>
    <hyperlink ref="B411" r:id="rId45" xr:uid="{2257E181-A915-4446-A37E-678FAFCA5BE2}"/>
    <hyperlink ref="B408" r:id="rId46" xr:uid="{BF54C751-87C9-44C1-B372-5F4ECA1485BC}"/>
    <hyperlink ref="B407" r:id="rId47" xr:uid="{8ED548D0-44EC-46A5-8CFE-7D002CF1A3FB}"/>
    <hyperlink ref="B406" r:id="rId48" xr:uid="{719DD4CD-0F1E-43BB-BEB0-C96BB851A794}"/>
    <hyperlink ref="B405" r:id="rId49" xr:uid="{8C3F6F37-BF0B-4676-B137-85ABF6979298}"/>
    <hyperlink ref="B403" r:id="rId50" xr:uid="{384601BE-7119-4846-8C45-E0EE09453C1D}"/>
    <hyperlink ref="B396" r:id="rId51" xr:uid="{4818E9A4-0C9E-4C0D-9417-60FEC80D299B}"/>
    <hyperlink ref="B402" r:id="rId52" xr:uid="{A29A66D1-6837-4E96-B299-CA1E454D8511}"/>
    <hyperlink ref="B191" r:id="rId53" xr:uid="{5E150CBD-0A5B-4E18-B28A-7A2DC635FA05}"/>
    <hyperlink ref="B279" r:id="rId54" xr:uid="{EDE1145A-C32D-4167-B9EB-080A56185AA8}"/>
    <hyperlink ref="B280" r:id="rId55" xr:uid="{49E2BA73-2795-45C9-8B33-A99B1000C90C}"/>
    <hyperlink ref="B401" r:id="rId56" xr:uid="{B635B642-EDE9-4D17-B50F-EE00358FD26A}"/>
    <hyperlink ref="B400" r:id="rId57" xr:uid="{3E036AAF-2B74-462D-97A7-F9CCB72DCA8F}"/>
    <hyperlink ref="B399" r:id="rId58" xr:uid="{7C2A6F5C-A736-49A0-928A-5260934AA68B}"/>
    <hyperlink ref="B392" r:id="rId59" xr:uid="{C9CA7CF8-0DA5-4C39-9AB6-E49CEC1B21F1}"/>
    <hyperlink ref="B391" r:id="rId60" xr:uid="{8D2994E3-9FDE-48F5-A9C7-1B62512214A7}"/>
    <hyperlink ref="B390" r:id="rId61" xr:uid="{11DFC2CA-B5A2-4B11-9B2C-E590A91710E0}"/>
    <hyperlink ref="B389" r:id="rId62" xr:uid="{D9E7A443-16D9-4DC4-BC14-721EF9FAAE75}"/>
    <hyperlink ref="B388" r:id="rId63" xr:uid="{719BD922-184E-46BC-94B7-EC0B18F03E19}"/>
    <hyperlink ref="B387" r:id="rId64" xr:uid="{D6265591-6357-4F97-9988-748F5E6F21BC}"/>
    <hyperlink ref="B386" r:id="rId65" xr:uid="{EE97198B-F8AC-424C-B196-85694BC1E549}"/>
    <hyperlink ref="B384" r:id="rId66" xr:uid="{03EBC8B0-1B9E-4BD3-914C-9E42E4BB0C9D}"/>
    <hyperlink ref="B381" r:id="rId67" xr:uid="{53B24F16-9BB2-4182-8C70-50F12779035B}"/>
    <hyperlink ref="B374" r:id="rId68" xr:uid="{EC779138-8D29-4198-A004-4A1F62BA9AEF}"/>
    <hyperlink ref="B377" r:id="rId69" xr:uid="{D3C7DF43-79FD-4B76-8E57-EE573EEBF224}"/>
    <hyperlink ref="B376" r:id="rId70" xr:uid="{C1380345-4028-4620-ADA3-74A5219A546E}"/>
    <hyperlink ref="B373" r:id="rId71" xr:uid="{349B2445-33B1-4995-A4DB-0D60E21AFB4E}"/>
    <hyperlink ref="B372" r:id="rId72" xr:uid="{014F92E4-F538-48F2-A2F7-97A112214A1A}"/>
    <hyperlink ref="B370" r:id="rId73" xr:uid="{D8072D5D-2E7A-4B47-B3A1-C0F2980E84B6}"/>
    <hyperlink ref="B369" r:id="rId74" xr:uid="{E762D0CC-14B8-46E2-908C-1C68A65FDBD1}"/>
    <hyperlink ref="B361" r:id="rId75" xr:uid="{0DE7D9E3-81AF-4E5B-8E4A-FDC9E51F5424}"/>
    <hyperlink ref="B367" r:id="rId76" xr:uid="{12C37A12-2B20-49DD-A689-422E51F6AD2A}"/>
    <hyperlink ref="B364" r:id="rId77" xr:uid="{6DC4B9B2-B874-49AC-9911-A763FCD63189}"/>
    <hyperlink ref="B362" r:id="rId78" xr:uid="{53AB115C-BC67-4F7A-A646-CE281610A3A8}"/>
    <hyperlink ref="B363" r:id="rId79" xr:uid="{B4363143-E60F-4018-90B0-9BA4302B18E7}"/>
    <hyperlink ref="B171" r:id="rId80" xr:uid="{6E2657A4-270B-4958-9E73-7925A8F15743}"/>
    <hyperlink ref="B360" r:id="rId81" xr:uid="{BB3B4745-0F38-448B-B430-0BA22EC23BF5}"/>
    <hyperlink ref="B281" r:id="rId82" xr:uid="{58B9DDE2-CA0D-43D0-B485-AFC8B2BACB51}"/>
    <hyperlink ref="B358" r:id="rId83" xr:uid="{3F9E4AD9-06E0-495F-80EE-4D3988764688}"/>
    <hyperlink ref="B195" r:id="rId84" xr:uid="{11A7C111-119F-489F-89DB-EAE8593811ED}"/>
    <hyperlink ref="B183" r:id="rId85" xr:uid="{B9C6FA84-286F-4F95-A2E3-1464963313AA}"/>
    <hyperlink ref="B182" r:id="rId86" xr:uid="{5DFCECC1-F726-4C91-A331-059E5964EA26}"/>
    <hyperlink ref="B357" r:id="rId87" xr:uid="{29DFDD85-3688-4CB6-A7B1-A1D88C557A23}"/>
    <hyperlink ref="B227" r:id="rId88" xr:uid="{337ACCBD-EC01-452D-95D7-672836ABE1A2}"/>
    <hyperlink ref="B169" r:id="rId89" xr:uid="{845D95CC-917D-481E-8289-74778B62AF3E}"/>
    <hyperlink ref="B172" r:id="rId90" xr:uid="{1A83B08B-FF1B-4AF6-B9A5-A5050F51D6F8}"/>
    <hyperlink ref="B354" r:id="rId91" xr:uid="{4D393FEA-BEDE-4DC8-BAA3-4F56241CE69A}"/>
    <hyperlink ref="B290" r:id="rId92" xr:uid="{F59D4EB7-1278-447E-82A7-3B4EAED8B3D6}"/>
    <hyperlink ref="B352" r:id="rId93" xr:uid="{8F9A23E3-D8C9-409A-9D23-FDB2B9E9AD5E}"/>
    <hyperlink ref="B351" r:id="rId94" xr:uid="{43DC09CC-DB2A-4943-BB72-479BC57E3CFA}"/>
    <hyperlink ref="B343" r:id="rId95" xr:uid="{811D9CCB-7318-40A6-B848-05ADFDC98F85}"/>
    <hyperlink ref="B342" r:id="rId96" xr:uid="{63E311AF-C6E8-43A5-844A-3141DE10C243}"/>
    <hyperlink ref="B341" r:id="rId97" xr:uid="{8BAA00BB-00A4-436A-A3D4-CEDD005D4134}"/>
    <hyperlink ref="B340" r:id="rId98" xr:uid="{93E424E8-A69A-42F0-A986-03E41E7F0BCA}"/>
    <hyperlink ref="B339" r:id="rId99" xr:uid="{C4451665-F49E-4683-BF44-6D6C685E65BD}"/>
    <hyperlink ref="B338" r:id="rId100" xr:uid="{7B7A47AA-DB1D-4BC4-A34B-DF90DE8CB0FC}"/>
    <hyperlink ref="B337" r:id="rId101" xr:uid="{FB693244-8F23-4CC2-B235-A6BDB984A479}"/>
    <hyperlink ref="B336" r:id="rId102" xr:uid="{83F68AED-32D2-4E07-A8D3-462B2AA56147}"/>
    <hyperlink ref="B333" r:id="rId103" xr:uid="{B8289AAF-65C1-482A-BD10-BF7B8FB62C09}"/>
    <hyperlink ref="B332" r:id="rId104" xr:uid="{BFAF98DB-C86E-4DE9-9E2A-72F4A804D518}"/>
    <hyperlink ref="B331" r:id="rId105" xr:uid="{0AB936C3-2C58-49A3-A411-332F663A5CCD}"/>
    <hyperlink ref="B185" r:id="rId106" xr:uid="{A06D1D27-4C4F-4C62-AE66-84DED9A9BE6C}"/>
    <hyperlink ref="B186" r:id="rId107" xr:uid="{E8D24284-8AF3-4D27-913D-D0575F4EBBE7}"/>
    <hyperlink ref="B187" r:id="rId108" xr:uid="{B4829B4F-B841-42F1-9319-E91876DA437B}"/>
    <hyperlink ref="B330" r:id="rId109" xr:uid="{80238B78-E381-4C91-8D42-B5E292A70DFD}"/>
    <hyperlink ref="B329" r:id="rId110" xr:uid="{EB5416DB-2713-4097-AEC2-4121CB4E711A}"/>
    <hyperlink ref="B328" r:id="rId111" xr:uid="{978A21F7-6AD7-41F0-9F49-AEA7C235B681}"/>
    <hyperlink ref="B327" r:id="rId112" xr:uid="{2D2E6BF2-DCB4-485B-A88B-F0FC0867389A}"/>
    <hyperlink ref="B325" r:id="rId113" xr:uid="{B3481CA3-5783-41B6-8266-C4374DAE4B5D}"/>
    <hyperlink ref="B148" r:id="rId114" xr:uid="{FCD172FC-9081-4587-AB80-826ED77556ED}"/>
    <hyperlink ref="B149" r:id="rId115" xr:uid="{FE3C062B-25E4-4AFA-BB41-44D5D2A97A83}"/>
    <hyperlink ref="B324" r:id="rId116" xr:uid="{C157BE3D-8C4F-42FE-8516-5F5545B2E31C}"/>
    <hyperlink ref="B323" r:id="rId117" xr:uid="{C235EFB7-64FF-4D30-8050-4F1A3F848F63}"/>
    <hyperlink ref="B321" r:id="rId118" xr:uid="{3F583226-162E-4A1C-95EC-214FAA432B6D}"/>
    <hyperlink ref="B320" r:id="rId119" xr:uid="{3254456F-A13A-4AC6-883E-5FC670AED1BA}"/>
    <hyperlink ref="B319" r:id="rId120" xr:uid="{DAE811B2-89A8-4952-98D4-71055974F18C}"/>
    <hyperlink ref="B318" r:id="rId121" xr:uid="{C5EC1DDC-E4CA-4E1B-841D-14B9CB6F94A8}"/>
    <hyperlink ref="B315" r:id="rId122" xr:uid="{30698D3E-BA90-428E-8084-600805D08515}"/>
    <hyperlink ref="B317" r:id="rId123" xr:uid="{7EA827EB-5F66-4B51-AB61-239530A77B18}"/>
    <hyperlink ref="B316" r:id="rId124" xr:uid="{4EF51E33-7A91-4E64-A832-A0764B6D010F}"/>
    <hyperlink ref="B314" r:id="rId125" xr:uid="{BE77CA22-D5F6-4107-B2F3-0FB828325C44}"/>
    <hyperlink ref="B313" r:id="rId126" xr:uid="{BA59EA53-6CB1-4DEB-B20F-BC0E2D201E10}"/>
    <hyperlink ref="B312" r:id="rId127" xr:uid="{EE4B4470-D168-427D-9005-1E881C6D8C05}"/>
    <hyperlink ref="B311" r:id="rId128" xr:uid="{8641892E-1C13-4BAA-88CC-670A6F161414}"/>
    <hyperlink ref="B310" r:id="rId129" xr:uid="{09D38C46-430E-4445-BED2-F1E99AF0DE28}"/>
    <hyperlink ref="B309" r:id="rId130" xr:uid="{76AC9665-8319-4756-AAB6-39BBA21DD0DC}"/>
    <hyperlink ref="B308" r:id="rId131" xr:uid="{6626594F-4FA5-493D-8ACE-B036413F7CEE}"/>
    <hyperlink ref="B307" r:id="rId132" xr:uid="{0537E476-7A12-4892-893F-2521F7500FBA}"/>
    <hyperlink ref="B306" r:id="rId133" xr:uid="{0B18A829-ADB2-4661-BCF8-4E85D9F9C694}"/>
    <hyperlink ref="B305" r:id="rId134" xr:uid="{BEF9F03F-3295-47E3-8E26-15FB66C56A86}"/>
    <hyperlink ref="B288" r:id="rId135" xr:uid="{01FDE909-02FF-4294-A323-A08BAA4CAE22}"/>
    <hyperlink ref="B304" r:id="rId136" xr:uid="{E4B35B8E-4F6D-41F9-89CD-D1A58755F1F9}"/>
    <hyperlink ref="B303" r:id="rId137" xr:uid="{267713BF-BA5C-4A7B-B3CC-72443FA31555}"/>
    <hyperlink ref="B302" r:id="rId138" xr:uid="{5DE71AA8-B001-4038-AD03-CB1C16F77E23}"/>
    <hyperlink ref="B300" r:id="rId139" xr:uid="{3CDB928C-1D5B-4748-AECC-A107F9D824F6}"/>
    <hyperlink ref="B299" r:id="rId140" xr:uid="{3A9A716E-74FB-46D6-B636-97D7B23F9E9C}"/>
    <hyperlink ref="B298" r:id="rId141" xr:uid="{7705CFCB-AB65-44B7-9702-B7AAB34735E5}"/>
    <hyperlink ref="B296" r:id="rId142" xr:uid="{6FDE05B0-BD22-4071-8DA0-D0B02BBDC99E}"/>
    <hyperlink ref="B295" r:id="rId143" xr:uid="{276E2BD3-82F7-47B2-8480-5F405D16C858}"/>
    <hyperlink ref="B294" r:id="rId144" xr:uid="{E44B4A44-CC5D-4A36-9B72-AE6076765284}"/>
    <hyperlink ref="B168" r:id="rId145" xr:uid="{BEA341F9-854F-49E5-8ADB-2728132E6C78}"/>
    <hyperlink ref="B293" r:id="rId146" xr:uid="{9E1EC4DB-CDC8-49CF-B02D-49014E045D52}"/>
    <hyperlink ref="B292" r:id="rId147" xr:uid="{9F85630A-6A97-4CDE-A9C7-41F95FC60F06}"/>
    <hyperlink ref="B291" r:id="rId148" xr:uid="{93328650-071F-4C4E-8C75-6E336B5E3E2C}"/>
    <hyperlink ref="B289" r:id="rId149" xr:uid="{B578F3B2-9EC3-44B8-BBAD-B8866EE8A78A}"/>
    <hyperlink ref="B96" r:id="rId150" xr:uid="{DEF4459E-813D-4626-896D-28A3A16B558A}"/>
    <hyperlink ref="B97" r:id="rId151" xr:uid="{B8C1609A-E544-421D-B0BB-3D355F7EC7A0}"/>
    <hyperlink ref="B98" r:id="rId152" xr:uid="{419F60BA-7ED7-4A9A-8D76-438A36E754E7}"/>
    <hyperlink ref="B99" r:id="rId153" xr:uid="{0E2C1305-0442-4E96-B80B-0621A9A015BC}"/>
    <hyperlink ref="B107" r:id="rId154" xr:uid="{BCA9F140-F957-470A-A977-291BCD20FCE7}"/>
    <hyperlink ref="B109" r:id="rId155" xr:uid="{B29E2498-2549-492A-8DCC-4CB2E49F43FC}"/>
    <hyperlink ref="B287" r:id="rId156" xr:uid="{8506BED3-A591-4503-B164-70C69C6E2397}"/>
    <hyperlink ref="B286" r:id="rId157" xr:uid="{BCA27835-0A76-4486-95C7-FA285D473C8F}"/>
    <hyperlink ref="B202" r:id="rId158" xr:uid="{11AD959F-F16E-4FA1-91CB-9870A77E8383}"/>
    <hyperlink ref="B198" r:id="rId159" xr:uid="{1C2F37CB-8EF0-4140-AC80-35A5CD963900}"/>
    <hyperlink ref="B278" r:id="rId160" xr:uid="{A6662F85-581E-4123-A67A-C5C7BED680A1}"/>
    <hyperlink ref="B277" r:id="rId161" xr:uid="{AE12C947-C95B-46FF-B17F-F893A074B162}"/>
    <hyperlink ref="B276" r:id="rId162" xr:uid="{375FC6B9-0033-49B4-88D7-D075B895E66B}"/>
    <hyperlink ref="B189" r:id="rId163" xr:uid="{4AD23F7C-316B-4A32-BB60-DCEB007BE1C4}"/>
    <hyperlink ref="B275" r:id="rId164" xr:uid="{8854DE75-42CF-4F30-9706-64C541AC9A39}"/>
    <hyperlink ref="B274" r:id="rId165" xr:uid="{1967160D-C57E-4A57-B70E-442572E24014}"/>
    <hyperlink ref="B273" r:id="rId166" xr:uid="{187ACDF1-C839-4FC9-BC10-182421A02F67}"/>
    <hyperlink ref="B181" r:id="rId167" xr:uid="{6F29DAFB-9BD2-46C6-86E7-FD6CEA9D5C88}"/>
    <hyperlink ref="B272" r:id="rId168" xr:uid="{534B458B-8ECB-4EA1-AC51-1C8CC88E3B3B}"/>
    <hyperlink ref="B271" r:id="rId169" xr:uid="{DFAA7A10-42C2-405B-A5D2-79778B7919A2}"/>
    <hyperlink ref="B91" r:id="rId170" xr:uid="{59CF4D6C-09A8-447D-AE51-4836B039316D}"/>
    <hyperlink ref="B90" r:id="rId171" xr:uid="{5E1B037E-EE36-40E1-BDB7-7E5ED07E0214}"/>
    <hyperlink ref="B270" r:id="rId172" xr:uid="{C3257D0B-6773-4E48-86A4-AB26DF16339C}"/>
    <hyperlink ref="B268" r:id="rId173" xr:uid="{8F74A345-C476-47D9-B6FC-8490675609A0}"/>
    <hyperlink ref="B267" r:id="rId174" xr:uid="{531C8437-22FC-4833-8757-43B8819B6A11}"/>
    <hyperlink ref="B266" r:id="rId175" xr:uid="{D8F2D879-796B-4DB7-ACA2-84CC2903FB04}"/>
    <hyperlink ref="B5" r:id="rId176" xr:uid="{CBE8B862-E189-44B3-98FC-80A48DDE3EFA}"/>
    <hyperlink ref="B4" r:id="rId177" xr:uid="{20417C31-90C6-4959-8461-0239BD2194A7}"/>
    <hyperlink ref="B105" r:id="rId178" xr:uid="{885E3E93-2C79-4704-A32A-FBC0C97B4175}"/>
    <hyperlink ref="B86" r:id="rId179" display="https://rareworks.frappe.cloud/app/sales-order/SAL-ORD-2025-00466-1" xr:uid="{9B324A56-40BC-4A57-B045-FC5CB79D4B6F}"/>
    <hyperlink ref="B259" r:id="rId180" xr:uid="{7D9947E6-E466-4174-8B97-ECBBD1B1F4DC}"/>
    <hyperlink ref="B241" r:id="rId181" xr:uid="{7B889196-C8C0-431A-B8EE-37600AE662FB}"/>
    <hyperlink ref="B144" r:id="rId182" xr:uid="{9B56FCA0-902E-4201-B7DF-E4FEDD6D44DB}"/>
    <hyperlink ref="B145" r:id="rId183" xr:uid="{547102F1-2C37-4D1D-9AE5-F446C59E5EDE}"/>
    <hyperlink ref="B147" r:id="rId184" xr:uid="{CEB728AC-3678-4751-B4CB-CF878F4EABF3}"/>
    <hyperlink ref="B221" r:id="rId185" xr:uid="{C7481C43-8357-43A3-A422-E85146D26018}"/>
    <hyperlink ref="B223" r:id="rId186" xr:uid="{B3342A7B-315E-4B52-8DFC-41037E351506}"/>
    <hyperlink ref="B238" r:id="rId187" xr:uid="{E9574661-012C-4C2F-AAD5-4A8A318BD148}"/>
    <hyperlink ref="B234" r:id="rId188" xr:uid="{12F7966C-E119-4FDF-A974-7DA5C9E9C5B5}"/>
    <hyperlink ref="B236" r:id="rId189" xr:uid="{FB47A97F-CB95-4600-BED9-61349BF09235}"/>
    <hyperlink ref="B232" r:id="rId190" xr:uid="{8CD10B69-447E-4847-9A92-1E8B11DF9C96}"/>
    <hyperlink ref="B143" r:id="rId191" xr:uid="{862363ED-BF43-470B-8EFD-91E058F9F307}"/>
    <hyperlink ref="B141" r:id="rId192" xr:uid="{73634609-5AA5-42D6-9A5E-8B70EFF40D06}"/>
    <hyperlink ref="B139" r:id="rId193" xr:uid="{C1D52B65-CED1-443C-BB72-A71E551A7A9A}"/>
    <hyperlink ref="B95" r:id="rId194" xr:uid="{F74DCD9C-F00C-419A-8CA1-221C782FCAD1}"/>
    <hyperlink ref="B247" r:id="rId195" xr:uid="{7A3FEFF8-7E7D-452E-822A-7EF5CEB1BCF6}"/>
    <hyperlink ref="B245" r:id="rId196" xr:uid="{B9916E96-322A-4950-B6EB-28567E01D1F2}"/>
    <hyperlink ref="B261" r:id="rId197" xr:uid="{E1C8651B-FD63-4806-ABFA-4618974EEE89}"/>
    <hyperlink ref="B117" r:id="rId198" xr:uid="{35F19284-A819-48FB-822B-18143DFDDC7F}"/>
    <hyperlink ref="B115" r:id="rId199" xr:uid="{C4877C83-C0E3-469C-B73A-0F51D251AA52}"/>
    <hyperlink ref="B51" r:id="rId200" display="https://rareworks.frappe.cloud/app/sales-invoice/SI-24-10-94" xr:uid="{04DC24B9-96F5-449F-B846-9214C561DF6E}"/>
    <hyperlink ref="B203" r:id="rId201" xr:uid="{719B468A-4E1E-4D6C-B22F-CFCC4F8B9541}"/>
    <hyperlink ref="B201" r:id="rId202" xr:uid="{1A1D35E3-CD50-4EF8-9593-E9A52CB3CFDC}"/>
    <hyperlink ref="B199" r:id="rId203" xr:uid="{9D259681-60CD-4B16-945D-53E3AAE6F693}"/>
    <hyperlink ref="B178" r:id="rId204" xr:uid="{E24E8A89-26C9-4BB5-8C48-A70E752770E4}"/>
    <hyperlink ref="B176" r:id="rId205" xr:uid="{DCB5E198-6175-45C3-97C1-8C76063057E1}"/>
    <hyperlink ref="B125" r:id="rId206" xr:uid="{CD7D08F9-FD6B-434C-8FED-567C762543E0}"/>
    <hyperlink ref="B119" r:id="rId207" xr:uid="{93183177-8DF2-45F1-A24E-C822A8926A3E}"/>
    <hyperlink ref="B118" r:id="rId208" xr:uid="{058BA499-4F2A-4ACA-9CAD-CBC87B6E1CA2}"/>
    <hyperlink ref="B263" r:id="rId209" xr:uid="{831E5676-ACDF-4950-8D5F-E114A6484A82}"/>
    <hyperlink ref="B262" r:id="rId210" xr:uid="{1C89430E-8967-4EAC-B11C-E5D105DF181E}"/>
    <hyperlink ref="B57" r:id="rId211" xr:uid="{2D6D2D09-53CC-4816-9D17-CF484000000C}"/>
    <hyperlink ref="B55" r:id="rId212" xr:uid="{E5C0A6E9-C484-4FEA-8E4B-807153CD7521}"/>
    <hyperlink ref="B3" r:id="rId213" xr:uid="{A7881327-03CB-4082-9F63-829354F392DA}"/>
    <hyperlink ref="B133" r:id="rId214" xr:uid="{DD1DAB9F-B8AF-4E25-BBDE-9B1BB7B7B3E6}"/>
    <hyperlink ref="B132" r:id="rId215" xr:uid="{C5192AE8-4D24-4449-9D41-73CE08F0181A}"/>
    <hyperlink ref="B83" r:id="rId216" xr:uid="{4ABFFAA7-D780-4D69-BE56-00B7164056E7}"/>
    <hyperlink ref="B82" r:id="rId217" xr:uid="{E648F572-1874-4096-8A77-21CA41C487F4}"/>
    <hyperlink ref="B50" r:id="rId218" xr:uid="{89D5F8A0-944F-4498-A3F0-C8A32F4FD502}"/>
    <hyperlink ref="B64" r:id="rId219" xr:uid="{D40063D0-EF27-46DF-819D-A4CD43B9FB5B}"/>
    <hyperlink ref="B63" r:id="rId220" xr:uid="{BDD3564E-FBFD-4429-98ED-D530B9537A8C}"/>
    <hyperlink ref="B222" r:id="rId221" xr:uid="{0A45E753-F7E9-4CAE-A1AD-1439F11527C1}"/>
    <hyperlink ref="B2" r:id="rId222" xr:uid="{75ACF4C5-64F0-48BA-98B5-C82FB8EF36FA}"/>
    <hyperlink ref="B104" r:id="rId223" xr:uid="{450B056C-09AB-4352-B1B3-520C854F5C13}"/>
    <hyperlink ref="B49" r:id="rId224" xr:uid="{075A820F-14D0-48D3-8857-E02556E2E75C}"/>
    <hyperlink ref="B89" r:id="rId225" xr:uid="{9BEF3FC5-00CB-493F-9537-DBCA454F68E9}"/>
    <hyperlink ref="B93" r:id="rId226" xr:uid="{3FF5C0C0-08AE-47D0-9493-59A94E726770}"/>
    <hyperlink ref="B193" r:id="rId227" xr:uid="{3B184B88-C54A-4403-A478-AA41341E1884}"/>
    <hyperlink ref="B101" r:id="rId228" xr:uid="{37E4C262-E176-46AF-8885-F925442FACC9}"/>
    <hyperlink ref="B102" r:id="rId229" xr:uid="{B5777EDD-8664-4D2A-B173-AF6DA2687E54}"/>
    <hyperlink ref="B103" r:id="rId230" xr:uid="{A5400FA9-1916-4D92-96E7-A7C2521D8BFB}"/>
    <hyperlink ref="B240" r:id="rId231" xr:uid="{7A564762-60EE-4A22-B5BB-53137392FD7B}"/>
    <hyperlink ref="B239" r:id="rId232" xr:uid="{88AE70E9-81B0-4F5D-9339-D2A824911602}"/>
    <hyperlink ref="B257" r:id="rId233" xr:uid="{CE9A350B-5C93-4A06-943C-822E54A50BBA}"/>
    <hyperlink ref="B256" r:id="rId234" xr:uid="{F924E335-56D5-48BE-99FF-134EDA36C649}"/>
    <hyperlink ref="B251" r:id="rId235" xr:uid="{09EFFA8E-2BE7-4BF2-A600-ADA4EB86B2EF}"/>
    <hyperlink ref="B252" r:id="rId236" xr:uid="{ABF2F681-07D8-4FF9-BEBD-EBF8EDC638B8}"/>
    <hyperlink ref="B88" r:id="rId237" xr:uid="{64D44501-60C9-4473-B7F5-8F4301E99037}"/>
    <hyperlink ref="B122" r:id="rId238" xr:uid="{257547F1-3E65-4B12-9488-6CC59CCD6F37}"/>
    <hyperlink ref="B123" r:id="rId239" xr:uid="{7FB70BEF-B5D6-46D0-9C45-2CEB12C15F3E}"/>
    <hyperlink ref="B92" r:id="rId240" xr:uid="{C8811FE3-65DA-4370-9C6B-F7F4C2491CDA}"/>
    <hyperlink ref="B253" r:id="rId241" xr:uid="{8FC2E781-D39B-4475-93E1-E9D7E196E67D}"/>
    <hyperlink ref="B250" r:id="rId242" xr:uid="{5DEE18B8-44D5-43EF-8E5F-12C5BF68A46E}"/>
    <hyperlink ref="B237" r:id="rId243" xr:uid="{940C82E4-9598-49AF-BA9B-011F33F4B1D4}"/>
    <hyperlink ref="B166" r:id="rId244" xr:uid="{B4C33316-1295-4F13-BE82-0C31D15D6C78}"/>
    <hyperlink ref="B165" r:id="rId245" xr:uid="{D125F9DE-A6A0-4E3C-936D-0E7BED7EF2C1}"/>
    <hyperlink ref="B76" r:id="rId246" xr:uid="{8F30D02F-9714-442C-B0C0-F729DF389FC4}"/>
    <hyperlink ref="B74" r:id="rId247" xr:uid="{C12703BC-7438-47F0-94D1-043C88578EB4}"/>
    <hyperlink ref="B73" r:id="rId248" xr:uid="{2B99C2A5-2255-4D95-8200-DB40D4381B86}"/>
    <hyperlink ref="B69" r:id="rId249" xr:uid="{0EB59F12-90BE-44B9-B891-109DC1169147}"/>
    <hyperlink ref="B70" r:id="rId250" xr:uid="{62E095BE-7B35-4E48-9BC2-CB13AEB86FF5}"/>
    <hyperlink ref="B67" r:id="rId251" xr:uid="{6CFA177B-8377-4AFF-BFBA-5FD4F209172A}"/>
    <hyperlink ref="B65" r:id="rId252" xr:uid="{71CACD13-0F61-43CC-B2E7-A8B7B0F5CC32}"/>
    <hyperlink ref="B71" r:id="rId253" xr:uid="{CF0A3876-B59D-4206-AA7E-4F97DF51691B}"/>
    <hyperlink ref="B48" r:id="rId254" xr:uid="{50A4A7DD-0054-469D-AC30-727CFF5FDC36}"/>
    <hyperlink ref="B46" r:id="rId255" xr:uid="{98D64DD9-D429-48F0-A50F-FB241532F0FB}"/>
    <hyperlink ref="B44" r:id="rId256" xr:uid="{2AD2DDE5-8194-4009-957E-384CC7F0026D}"/>
    <hyperlink ref="B42" r:id="rId257" xr:uid="{059D547A-AA8E-4817-B676-791BDF4E0269}"/>
    <hyperlink ref="B40" r:id="rId258" xr:uid="{B68A022E-0ED8-433D-B100-E71BDD634AFB}"/>
    <hyperlink ref="B39" r:id="rId259" xr:uid="{F123F3FB-EF43-4945-92A6-45715964BEB9}"/>
    <hyperlink ref="B38" r:id="rId260" xr:uid="{BA89583B-2F6C-4A7C-A470-FA6843F8FAF1}"/>
    <hyperlink ref="B36" r:id="rId261" xr:uid="{BE6F886F-8B38-4778-9ABC-C7D489284DED}"/>
    <hyperlink ref="B34" r:id="rId262" xr:uid="{E645961A-BB8C-46D1-9B5F-5E1A7CFBCD9D}"/>
    <hyperlink ref="B29" r:id="rId263" xr:uid="{AD5FD090-74AF-4EE8-90A9-BCCF6ED627A8}"/>
    <hyperlink ref="B28" r:id="rId264" xr:uid="{91244491-5F19-45C6-9335-3979F36F4EA2}"/>
    <hyperlink ref="B32" r:id="rId265" xr:uid="{E9A1E2D6-518D-4761-8952-F01ED75A3400}"/>
    <hyperlink ref="B31" r:id="rId266" xr:uid="{14AFE6B5-B7BC-4B82-9953-787CCA8FACC8}"/>
    <hyperlink ref="B30" r:id="rId267" xr:uid="{84672D7E-CB40-4489-A87D-4B19A5C3C77F}"/>
    <hyperlink ref="B25" r:id="rId268" xr:uid="{8FB55FF4-CCAB-488D-BF8E-4E54AB4E344A}"/>
    <hyperlink ref="B23" r:id="rId269" xr:uid="{7F3DBA90-6A38-45EC-A403-40F5069525DC}"/>
    <hyperlink ref="B15" r:id="rId270" xr:uid="{64BE6A05-A6DF-4F5B-B121-AE06BD70B997}"/>
    <hyperlink ref="B14" r:id="rId271" xr:uid="{92B9174E-A157-41A8-8906-B9117FA9C35E}"/>
    <hyperlink ref="B16" r:id="rId272" xr:uid="{4B17F550-8F7F-4257-BBA8-27C4664A0084}"/>
    <hyperlink ref="B13" r:id="rId273" xr:uid="{68F38DA1-9170-4CC7-81D9-2D1683F9F441}"/>
    <hyperlink ref="B21" r:id="rId274" xr:uid="{9528314C-73DD-4D3E-815F-F788D77BFAB0}"/>
    <hyperlink ref="B20" r:id="rId275" xr:uid="{1871CC43-EBFB-4BD4-85F3-91BEB8A354BC}"/>
    <hyperlink ref="B19" r:id="rId276" xr:uid="{AFA1B9FE-B0D2-4D49-B49E-098068AA1888}"/>
    <hyperlink ref="B18" r:id="rId277" xr:uid="{B2F12B64-D06A-44E7-BB5B-37FBA60194B9}"/>
    <hyperlink ref="B17" r:id="rId278" xr:uid="{63E54E31-5FFC-44B9-9EAA-1AA9F4589588}"/>
    <hyperlink ref="B162" r:id="rId279" xr:uid="{3D9B767E-355D-4553-B995-D5170245ED9C}"/>
    <hyperlink ref="B161" r:id="rId280" xr:uid="{F1279A0B-C68D-4B1F-B03B-A4C8ED3E326E}"/>
    <hyperlink ref="B197" r:id="rId281" xr:uid="{C8834AC8-1612-495D-883D-5EB34A652A54}"/>
    <hyperlink ref="B26" r:id="rId282" xr:uid="{2E5457DA-309D-478B-86EA-76B2EBFD993B}"/>
    <hyperlink ref="B54" r:id="rId283" xr:uid="{2DF851C1-C807-4B11-974C-092FB93E468A}"/>
    <hyperlink ref="B7" r:id="rId284" xr:uid="{4203E40C-D457-47EE-879F-86AB63834FC3}"/>
    <hyperlink ref="B137" r:id="rId285" xr:uid="{65F64CE7-E2CA-49A3-865A-C732635AE609}"/>
    <hyperlink ref="B196" r:id="rId286" xr:uid="{8142A780-2280-4BA4-B20D-C28E90FD42FC}"/>
    <hyperlink ref="B6" r:id="rId287" xr:uid="{CE40E52D-A747-4643-A32F-C424AB0BA001}"/>
    <hyperlink ref="B160" r:id="rId288" xr:uid="{6BA8567B-C245-47CD-9CF7-E7D844D94BF5}"/>
    <hyperlink ref="B27" r:id="rId289" xr:uid="{EA97C4B4-1FE6-4571-A2B0-17DE0D03D814}"/>
    <hyperlink ref="B159" r:id="rId290" xr:uid="{5C72721F-7AE3-4BF9-A12C-DC648C5FDEEA}"/>
    <hyperlink ref="B56" r:id="rId291" xr:uid="{76E38AFE-38DD-43AF-9C24-9AFD150AA851}"/>
    <hyperlink ref="B47" r:id="rId292" xr:uid="{EE7CEB65-3ED1-4AD4-8BB3-DB0FFDFC6DD9}"/>
    <hyperlink ref="B142" r:id="rId293" xr:uid="{C9782583-BD3A-4A81-8D20-F203F7219625}"/>
    <hyperlink ref="B180" r:id="rId294" xr:uid="{005E9BA7-8748-4643-81FE-02598F970978}"/>
    <hyperlink ref="B110" r:id="rId295" xr:uid="{30B5CC49-BA5A-47AC-A0AE-5B2E81367DB5}"/>
    <hyperlink ref="B177" r:id="rId296" xr:uid="{F5844B84-76D8-4345-8350-E104DEE94592}"/>
    <hyperlink ref="B175" r:id="rId297" xr:uid="{4B35E1B4-7A2C-483C-AE2B-2C36D0AD3235}"/>
    <hyperlink ref="B167" r:id="rId298" xr:uid="{60C75FAA-975C-4490-82AD-2037A5AD4176}"/>
    <hyperlink ref="B12" r:id="rId299" xr:uid="{D460D6DA-01F7-4DB1-81E0-1E2DBDFFD9DE}"/>
    <hyperlink ref="B156" r:id="rId300" xr:uid="{FD968348-3476-4B14-B36A-5E253F57E5B3}"/>
    <hyperlink ref="B157" r:id="rId301" xr:uid="{2D336213-FA17-4D4D-8CBF-B5D75201C8CF}"/>
    <hyperlink ref="B53" r:id="rId302" xr:uid="{FA205342-7B55-4D19-8EF5-D716BFE5C1C2}"/>
    <hyperlink ref="B106" r:id="rId303" xr:uid="{5ED698B2-683B-4F90-BDA4-82860AB8785C}"/>
    <hyperlink ref="B255" r:id="rId304" xr:uid="{27A05994-14E2-4068-B7D1-5EAA6984BDCC}"/>
    <hyperlink ref="B52" r:id="rId305" xr:uid="{A4D6A1DC-9DD4-4013-A295-8CA3F30003CD}"/>
    <hyperlink ref="B210" r:id="rId306" xr:uid="{F5E090A6-0EB9-4B25-BEC7-36402D8CCE58}"/>
    <hyperlink ref="B209" r:id="rId307" xr:uid="{8D87F935-5A58-44E3-9E4A-ABD43F5EA664}"/>
    <hyperlink ref="B260" r:id="rId308" xr:uid="{D0F2A7F2-84EF-4897-9A39-CAE13B9C1067}"/>
    <hyperlink ref="B164" r:id="rId309" xr:uid="{AB57CA6E-550F-4A7A-86C4-0DB772FC8DF3}"/>
    <hyperlink ref="B163" r:id="rId310" xr:uid="{F3F3651A-5DFB-49EF-9961-8F1B9DBC6D22}"/>
    <hyperlink ref="B244" r:id="rId311" xr:uid="{FB07342C-0D05-4C2F-B52D-79FD9DBFB0C7}"/>
    <hyperlink ref="B111" r:id="rId312" xr:uid="{4E471D1D-09F3-40A0-8D5A-8BF2555ADD9E}"/>
    <hyperlink ref="B24" r:id="rId313" xr:uid="{52D4D04C-F3C4-48A6-8735-35E149961187}"/>
    <hyperlink ref="B22" r:id="rId314" xr:uid="{82D6E036-BCE1-4006-82C1-1A5932D47491}"/>
    <hyperlink ref="B37" r:id="rId315" xr:uid="{31B6BD44-3BC2-43C6-ADAB-5D51D1D686B5}"/>
    <hyperlink ref="B235" r:id="rId316" xr:uid="{E2C74642-0D01-4235-A799-B7C5885CA82C}"/>
    <hyperlink ref="B11" r:id="rId317" xr:uid="{69A5C4B2-CB64-4702-AB58-DA4E0DF8DF81}"/>
    <hyperlink ref="B179" r:id="rId318" xr:uid="{EF97D7CB-B5C7-415F-8081-45AA906C5534}"/>
    <hyperlink ref="B150" r:id="rId319" xr:uid="{101C974A-2CBD-48BE-B50B-726DCDF9A9D9}"/>
    <hyperlink ref="B200" r:id="rId320" xr:uid="{280BF1AF-B2E0-415F-80C5-5D8A23B0E9B1}"/>
    <hyperlink ref="B45" r:id="rId321" xr:uid="{75FDD952-863E-4BB9-9683-596942A5C7D9}"/>
    <hyperlink ref="B10" r:id="rId322" xr:uid="{D5D0A519-5B9D-426C-9560-CAD0AF045566}"/>
    <hyperlink ref="B124" r:id="rId323" xr:uid="{FB3394CD-854B-44CB-AF26-41BCC5B7871E}"/>
    <hyperlink ref="B135" r:id="rId324" xr:uid="{1BA3071E-9C0B-4981-B643-18EE5614C36A}"/>
    <hyperlink ref="B226" r:id="rId325" xr:uid="{4D1AC36B-DCB9-489C-B411-ED687465052E}"/>
    <hyperlink ref="B134" r:id="rId326" xr:uid="{7BFCB177-2BA0-414D-8451-29A556F98EE2}"/>
    <hyperlink ref="B224" r:id="rId327" xr:uid="{18699017-228A-4F35-8874-C4FE8DD773FF}"/>
    <hyperlink ref="B207" r:id="rId328" xr:uid="{A5385FFE-B3D6-4B7C-AA60-64F45F68B224}"/>
    <hyperlink ref="B208" r:id="rId329" xr:uid="{372B66A2-9084-4F37-83A9-6B5B14535948}"/>
    <hyperlink ref="B140" r:id="rId330" xr:uid="{9F1C46BE-6EDC-4239-9158-E90E4FA64014}"/>
    <hyperlink ref="B138" r:id="rId331" xr:uid="{040EA00A-9FCD-4006-847C-4DE7F11CCA57}"/>
    <hyperlink ref="B9" r:id="rId332" xr:uid="{693B03CC-727B-44CC-BE9B-D3ADF2227BB8}"/>
    <hyperlink ref="B8" r:id="rId333" xr:uid="{06E052F7-4ECA-4FD4-96B6-354DC578D9CB}"/>
    <hyperlink ref="B249" r:id="rId334" xr:uid="{C6C1B4C8-7FF7-4C7D-95D2-D95084EC6A09}"/>
    <hyperlink ref="B248" r:id="rId335" xr:uid="{11FE33E5-6188-4667-AF5B-9A20440D156E}"/>
    <hyperlink ref="B194" r:id="rId336" xr:uid="{5D434B03-8F2C-4E13-96B7-A160946AE0D0}"/>
    <hyperlink ref="B94" r:id="rId337" xr:uid="{283888EF-66BF-4830-8250-1565371EC3B8}"/>
    <hyperlink ref="B116" r:id="rId338" xr:uid="{EBE105DA-ED0D-40AE-923C-C4B0CD6998BC}"/>
    <hyperlink ref="B114" r:id="rId339" xr:uid="{5057FC51-2026-4503-BB77-B17F31B11CE3}"/>
    <hyperlink ref="B246" r:id="rId340" xr:uid="{D2522EAD-B609-4DB5-B033-8C08C90EA097}"/>
    <hyperlink ref="B192" r:id="rId341" xr:uid="{DAC56315-D487-4FC1-8F88-C1C3364F5CB5}"/>
    <hyperlink ref="B43" r:id="rId342" xr:uid="{DEE2CEBB-D784-4F3F-A4BB-180D05A3643A}"/>
    <hyperlink ref="B41" r:id="rId343" xr:uid="{68C46A02-EED8-4715-9A28-BEF8E8E0C3DA}"/>
    <hyperlink ref="B35" r:id="rId344" xr:uid="{8A085352-1B10-4EE1-A56D-30A7DA90984D}"/>
    <hyperlink ref="B33" r:id="rId345" xr:uid="{B1671FF4-C68A-4A59-A82A-230CF5AE646C}"/>
    <hyperlink ref="B233" r:id="rId346" xr:uid="{51FD8FB5-2CF6-434C-A636-DE440FAFEAD5}"/>
    <hyperlink ref="B231" r:id="rId347" xr:uid="{CED1EFE1-7408-4BED-8432-5F4941714110}"/>
    <hyperlink ref="B136" r:id="rId348" xr:uid="{6A346F34-34C1-4065-83B1-3203121A5FFF}"/>
    <hyperlink ref="B243" r:id="rId349" xr:uid="{692AA8D3-1956-449F-BB7F-68585C2BFFC4}"/>
    <hyperlink ref="B242" r:id="rId350" xr:uid="{CCC70DCC-41D7-4921-BF90-B559B2D3735C}"/>
  </hyperlinks>
  <printOptions horizontalCentered="1"/>
  <pageMargins left="0.5" right="0.5" top="0.5" bottom="0.5" header="0.3" footer="0.3"/>
  <pageSetup paperSize="9" scale="46" fitToHeight="0" orientation="landscape" r:id="rId351"/>
  <headerFooter differentFirst="1"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10BBED-9817-4C34-8A46-5FC5E025D960}">
          <x14:formula1>
            <xm:f>'Data List '!$A$1:$A$195</xm:f>
          </x14:formula1>
          <xm:sqref>C108 C134 C112:C116 C137:C155 C181 C245:C247 C202:C207 C191:C192 C209 C211:C212 C215 C218 C118:C125 C237:C238 C240:C242 C183:C185 C197 C249:C253 C220:C234 C255:C256 C258:C263 C265:C267 C2:C104 C358:C371 C284:C286 C289:C295 C297:C308 C310:C315 C317:C318 C320:C322 C324:C328 C331:C336 C354:C356 C346:C352 C338:C343 C270:C281 C380:C390 C406 C409 C411:C412 C414:C420 C423:C427 C432:C438 C157:C177 C440:C445 C447 C449:C466 C470:C472 C392:C403 C476:C497 C499:C509 C511:C541</xm:sqref>
        </x14:dataValidation>
        <x14:dataValidation type="list" showInputMessage="1" showErrorMessage="1" xr:uid="{1F270AC1-025E-42D7-B79C-1CF05793809C}">
          <x14:formula1>
            <xm:f>'Data List '!$B$1:$B$20</xm:f>
          </x14:formula1>
          <xm:sqref>I501:I503 D541:E541 I442 I541 D2:G429 I444:I445 D515:G515 H497 I475 I262:I263 D485:I485 H416:I420 I465 I266:I268 H392:H394 I440 I438 I431 H507:I508 I259:I260 H226 I422:I426 I405:I409 I399:I403 I387:I394 I376 I372 I367 I360:I365 I358 I344 I339:I340 I332:I333 H310 I327:I330 I324 I302:I317 I298:I300 I293 H351:I352 I288:I291 I282 H369:I369 I273:I275 H387:H390 H400:H402 H396:I397 H405:H408 H422 D431:G431 D438:G438 D444:G445 D442:G442 D440:G440 D447:G452 I428 H411:I411 D465:G465 D467:G469 I450:I451 D473:G475 I467:I468 D491:G498 I491:I498 H492:H493 D501:G503 G541 I2:I3 I6 I8:I14 I22 I24 I26:I27 I30:I31 I33 I35 I37 I39 I41 I43 I45 I47 I49 I51:I54 I56 I58:I61 I63:I65 I67 I69:I71 I73:I74 I76 I78:I79 I81:I83 I86 I88 I92:I94 I96 I98 I101:I104 I106:I107 I109 I111:I114 I116 I118 I120 I122:I124 I126 I129 I132:I136 I138 I140 I142 I144:I145 I147:I148 I150:I152 I154 I156:I160 I163:I164 I167:I169 I171 I173 I175 I177 I179 I181:I182 I185 I188:I189 I191:I192 I194 I196 I198 I200 I202 I204:I205 I207:I218 I221:I224 I226:I229 I231 I233 I235 I239:I244 I246 I248:I249 I251:I253 I255 I257 D507:G510 D513:G513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E2AF-2E98-4BBE-AA6B-D6817542E228}">
  <dimension ref="A1:G6"/>
  <sheetViews>
    <sheetView topLeftCell="B2" workbookViewId="0">
      <selection activeCell="E2" sqref="E2"/>
    </sheetView>
  </sheetViews>
  <sheetFormatPr defaultRowHeight="14.4" x14ac:dyDescent="0.3"/>
  <cols>
    <col min="1" max="1" width="25.5546875" customWidth="1"/>
    <col min="2" max="2" width="28.5546875" customWidth="1"/>
    <col min="3" max="3" width="21.21875" customWidth="1"/>
    <col min="4" max="4" width="20.33203125" customWidth="1"/>
    <col min="5" max="5" width="42.77734375" customWidth="1"/>
    <col min="6" max="6" width="14.33203125" customWidth="1"/>
  </cols>
  <sheetData>
    <row r="1" spans="1:7" x14ac:dyDescent="0.3">
      <c r="A1" s="53"/>
      <c r="B1" s="53"/>
      <c r="C1" s="53"/>
      <c r="D1" s="53"/>
      <c r="E1" s="53"/>
    </row>
    <row r="2" spans="1:7" x14ac:dyDescent="0.3">
      <c r="A2" s="54">
        <v>1850</v>
      </c>
      <c r="B2" s="54"/>
      <c r="C2" s="54">
        <v>0</v>
      </c>
      <c r="D2" s="54" t="str">
        <f>IFERROR(IF(#REF!&gt;=#REF!,,5), "")</f>
        <v/>
      </c>
      <c r="E2" s="54"/>
      <c r="G2" t="s">
        <v>486</v>
      </c>
    </row>
    <row r="3" spans="1:7" x14ac:dyDescent="0.3">
      <c r="A3" s="53">
        <v>0</v>
      </c>
      <c r="B3" s="53" t="e">
        <f>#REF!*5%</f>
        <v>#REF!</v>
      </c>
      <c r="C3" s="53">
        <v>0</v>
      </c>
      <c r="D3" s="53" t="str">
        <f>IFERROR(IF(#REF!&gt;=#REF!,,5), "")</f>
        <v/>
      </c>
      <c r="E3" s="53" t="e">
        <f>#REF!+#REF!+#REF!</f>
        <v>#REF!</v>
      </c>
      <c r="F3" t="e">
        <f t="shared" ref="F3:F6" si="0">TEXT(E3,"@")</f>
        <v>#REF!</v>
      </c>
    </row>
    <row r="4" spans="1:7" x14ac:dyDescent="0.3">
      <c r="A4" s="54">
        <v>0</v>
      </c>
      <c r="B4" s="54" t="e">
        <f>#REF!*5%</f>
        <v>#REF!</v>
      </c>
      <c r="C4" s="54">
        <v>0</v>
      </c>
      <c r="D4" s="54" t="str">
        <f>IFERROR(IF(#REF!&gt;=#REF!,,5), "")</f>
        <v/>
      </c>
      <c r="E4" s="54" t="e">
        <f>#REF!+#REF!+#REF!</f>
        <v>#REF!</v>
      </c>
      <c r="F4" t="e">
        <f t="shared" si="0"/>
        <v>#REF!</v>
      </c>
    </row>
    <row r="5" spans="1:7" x14ac:dyDescent="0.3">
      <c r="A5" s="53">
        <v>18505</v>
      </c>
      <c r="B5" s="53" t="e">
        <f>(#REF!+#REF!)*5%</f>
        <v>#REF!</v>
      </c>
      <c r="C5" s="53">
        <v>0</v>
      </c>
      <c r="D5" s="53">
        <v>150</v>
      </c>
      <c r="E5" s="53" t="e">
        <f>#REF!+#REF!+#REF!</f>
        <v>#REF!</v>
      </c>
      <c r="F5" t="e">
        <f t="shared" si="0"/>
        <v>#REF!</v>
      </c>
    </row>
    <row r="6" spans="1:7" x14ac:dyDescent="0.3">
      <c r="A6" s="54">
        <v>0</v>
      </c>
      <c r="B6" s="54" t="e">
        <f>#REF!*5%</f>
        <v>#REF!</v>
      </c>
      <c r="C6" s="54">
        <v>0</v>
      </c>
      <c r="D6" s="54" t="str">
        <f>IFERROR(IF(#REF!&gt;=#REF!,,5), "")</f>
        <v/>
      </c>
      <c r="E6" s="54" t="e">
        <f>#REF!+#REF!+#REF!</f>
        <v>#REF!</v>
      </c>
      <c r="F6" t="e">
        <f t="shared" si="0"/>
        <v>#REF!</v>
      </c>
    </row>
  </sheetData>
  <conditionalFormatting sqref="C1:C5 D1:E6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85F7-5871-4A19-9A49-DAF2F8CF4F3B}">
  <dimension ref="A1:D19"/>
  <sheetViews>
    <sheetView workbookViewId="0">
      <selection activeCell="B4" sqref="B4"/>
    </sheetView>
  </sheetViews>
  <sheetFormatPr defaultRowHeight="14.4" x14ac:dyDescent="0.3"/>
  <cols>
    <col min="1" max="1" width="39.6640625" customWidth="1"/>
    <col min="2" max="2" width="20.6640625" customWidth="1"/>
    <col min="3" max="3" width="16" customWidth="1"/>
  </cols>
  <sheetData>
    <row r="1" spans="1:4" x14ac:dyDescent="0.3">
      <c r="A1" s="49" t="s">
        <v>63</v>
      </c>
      <c r="B1" s="49"/>
      <c r="C1" s="49"/>
      <c r="D1" s="49"/>
    </row>
    <row r="2" spans="1:4" x14ac:dyDescent="0.3">
      <c r="B2" t="s">
        <v>56</v>
      </c>
      <c r="C2" t="s">
        <v>55</v>
      </c>
    </row>
    <row r="3" spans="1:4" x14ac:dyDescent="0.3">
      <c r="A3" t="s">
        <v>53</v>
      </c>
      <c r="C3" s="3">
        <v>17931</v>
      </c>
    </row>
    <row r="4" spans="1:4" x14ac:dyDescent="0.3">
      <c r="A4" t="s">
        <v>54</v>
      </c>
      <c r="B4" s="3">
        <v>4900</v>
      </c>
    </row>
    <row r="5" spans="1:4" x14ac:dyDescent="0.3">
      <c r="A5" t="s">
        <v>57</v>
      </c>
      <c r="C5" s="4">
        <f>B4*3.6725</f>
        <v>17995.25</v>
      </c>
    </row>
    <row r="6" spans="1:4" x14ac:dyDescent="0.3">
      <c r="A6" t="s">
        <v>58</v>
      </c>
      <c r="C6" s="4">
        <f>C5-C3</f>
        <v>64.25</v>
      </c>
    </row>
    <row r="9" spans="1:4" x14ac:dyDescent="0.3">
      <c r="A9" t="s">
        <v>59</v>
      </c>
      <c r="B9">
        <v>4900</v>
      </c>
    </row>
    <row r="10" spans="1:4" x14ac:dyDescent="0.3">
      <c r="A10" t="s">
        <v>60</v>
      </c>
      <c r="B10">
        <f>B9*3.64</f>
        <v>17836</v>
      </c>
    </row>
    <row r="12" spans="1:4" x14ac:dyDescent="0.3">
      <c r="A12" t="s">
        <v>61</v>
      </c>
      <c r="B12" s="4">
        <f>C3-B10</f>
        <v>95</v>
      </c>
    </row>
    <row r="13" spans="1:4" x14ac:dyDescent="0.3">
      <c r="A13" t="s">
        <v>62</v>
      </c>
      <c r="B13">
        <v>64.25</v>
      </c>
    </row>
    <row r="14" spans="1:4" x14ac:dyDescent="0.3">
      <c r="B14" s="4">
        <f>B13+B12</f>
        <v>159.25</v>
      </c>
    </row>
    <row r="17" spans="2:2" x14ac:dyDescent="0.3">
      <c r="B17">
        <v>4883</v>
      </c>
    </row>
    <row r="18" spans="2:2" x14ac:dyDescent="0.3">
      <c r="B18">
        <v>3.64</v>
      </c>
    </row>
    <row r="19" spans="2:2" x14ac:dyDescent="0.3">
      <c r="B19">
        <f>B17*B18</f>
        <v>17774.12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A28B-6A6A-4FB7-B204-07646C518EC4}">
  <dimension ref="A1:B92"/>
  <sheetViews>
    <sheetView topLeftCell="A69" workbookViewId="0">
      <selection activeCell="A93" sqref="A93"/>
    </sheetView>
  </sheetViews>
  <sheetFormatPr defaultRowHeight="16.5" customHeight="1" x14ac:dyDescent="0.3"/>
  <cols>
    <col min="1" max="1" width="64.33203125" customWidth="1"/>
    <col min="2" max="2" width="29.44140625" customWidth="1"/>
  </cols>
  <sheetData>
    <row r="1" spans="1:2" ht="16.5" customHeight="1" x14ac:dyDescent="0.3">
      <c r="A1" s="5" t="s">
        <v>8</v>
      </c>
      <c r="B1" t="s">
        <v>67</v>
      </c>
    </row>
    <row r="2" spans="1:2" ht="16.5" customHeight="1" x14ac:dyDescent="0.3">
      <c r="A2" s="6" t="s">
        <v>8</v>
      </c>
      <c r="B2" t="s">
        <v>68</v>
      </c>
    </row>
    <row r="3" spans="1:2" ht="16.5" customHeight="1" x14ac:dyDescent="0.3">
      <c r="A3" s="5" t="s">
        <v>11</v>
      </c>
      <c r="B3" t="s">
        <v>295</v>
      </c>
    </row>
    <row r="4" spans="1:2" ht="16.5" customHeight="1" x14ac:dyDescent="0.3">
      <c r="A4" s="6" t="s">
        <v>12</v>
      </c>
      <c r="B4" t="s">
        <v>67</v>
      </c>
    </row>
    <row r="5" spans="1:2" ht="16.5" customHeight="1" x14ac:dyDescent="0.3">
      <c r="A5" s="6" t="s">
        <v>16</v>
      </c>
      <c r="B5" t="s">
        <v>399</v>
      </c>
    </row>
    <row r="6" spans="1:2" ht="16.5" customHeight="1" x14ac:dyDescent="0.3">
      <c r="A6" s="6" t="s">
        <v>18</v>
      </c>
    </row>
    <row r="7" spans="1:2" ht="16.5" customHeight="1" x14ac:dyDescent="0.3">
      <c r="A7" s="6" t="s">
        <v>20</v>
      </c>
    </row>
    <row r="8" spans="1:2" ht="16.5" customHeight="1" x14ac:dyDescent="0.3">
      <c r="A8" s="6" t="s">
        <v>23</v>
      </c>
    </row>
    <row r="9" spans="1:2" ht="16.5" customHeight="1" x14ac:dyDescent="0.3">
      <c r="A9" s="5" t="s">
        <v>25</v>
      </c>
    </row>
    <row r="10" spans="1:2" ht="16.5" customHeight="1" x14ac:dyDescent="0.3">
      <c r="A10" s="6" t="s">
        <v>27</v>
      </c>
    </row>
    <row r="11" spans="1:2" ht="16.5" customHeight="1" x14ac:dyDescent="0.3">
      <c r="A11" s="6" t="s">
        <v>30</v>
      </c>
    </row>
    <row r="12" spans="1:2" ht="16.5" customHeight="1" x14ac:dyDescent="0.3">
      <c r="A12" s="5" t="s">
        <v>32</v>
      </c>
    </row>
    <row r="13" spans="1:2" ht="16.5" customHeight="1" x14ac:dyDescent="0.3">
      <c r="A13" s="6" t="s">
        <v>34</v>
      </c>
    </row>
    <row r="14" spans="1:2" ht="16.5" customHeight="1" x14ac:dyDescent="0.3">
      <c r="A14" s="6" t="s">
        <v>37</v>
      </c>
    </row>
    <row r="15" spans="1:2" ht="16.5" customHeight="1" x14ac:dyDescent="0.3">
      <c r="A15" s="7" t="s">
        <v>40</v>
      </c>
    </row>
    <row r="16" spans="1:2" ht="16.5" customHeight="1" x14ac:dyDescent="0.3">
      <c r="A16" s="7" t="s">
        <v>44</v>
      </c>
    </row>
    <row r="17" spans="1:1" ht="16.5" customHeight="1" x14ac:dyDescent="0.3">
      <c r="A17" s="7" t="s">
        <v>48</v>
      </c>
    </row>
    <row r="18" spans="1:1" ht="16.5" customHeight="1" x14ac:dyDescent="0.3">
      <c r="A18" s="7" t="s">
        <v>51</v>
      </c>
    </row>
    <row r="19" spans="1:1" ht="16.5" customHeight="1" x14ac:dyDescent="0.3">
      <c r="A19" s="7" t="s">
        <v>64</v>
      </c>
    </row>
    <row r="20" spans="1:1" ht="16.5" customHeight="1" x14ac:dyDescent="0.3">
      <c r="A20" s="8" t="s">
        <v>73</v>
      </c>
    </row>
    <row r="21" spans="1:1" ht="16.5" customHeight="1" x14ac:dyDescent="0.3">
      <c r="A21" t="s">
        <v>75</v>
      </c>
    </row>
    <row r="22" spans="1:1" ht="16.5" customHeight="1" x14ac:dyDescent="0.3">
      <c r="A22" t="s">
        <v>81</v>
      </c>
    </row>
    <row r="23" spans="1:1" ht="16.5" customHeight="1" x14ac:dyDescent="0.3">
      <c r="A23" t="s">
        <v>84</v>
      </c>
    </row>
    <row r="24" spans="1:1" ht="16.5" customHeight="1" x14ac:dyDescent="0.3">
      <c r="A24" t="s">
        <v>87</v>
      </c>
    </row>
    <row r="25" spans="1:1" ht="16.5" customHeight="1" x14ac:dyDescent="0.3">
      <c r="A25" t="s">
        <v>89</v>
      </c>
    </row>
    <row r="26" spans="1:1" ht="16.5" customHeight="1" x14ac:dyDescent="0.3">
      <c r="A26" t="s">
        <v>93</v>
      </c>
    </row>
    <row r="27" spans="1:1" ht="16.5" customHeight="1" x14ac:dyDescent="0.3">
      <c r="A27" t="s">
        <v>96</v>
      </c>
    </row>
    <row r="28" spans="1:1" ht="16.5" customHeight="1" x14ac:dyDescent="0.3">
      <c r="A28" t="s">
        <v>98</v>
      </c>
    </row>
    <row r="29" spans="1:1" ht="16.5" customHeight="1" x14ac:dyDescent="0.3">
      <c r="A29" t="s">
        <v>100</v>
      </c>
    </row>
    <row r="30" spans="1:1" ht="16.5" customHeight="1" x14ac:dyDescent="0.3">
      <c r="A30" t="s">
        <v>105</v>
      </c>
    </row>
    <row r="31" spans="1:1" ht="16.5" customHeight="1" x14ac:dyDescent="0.3">
      <c r="A31" t="s">
        <v>108</v>
      </c>
    </row>
    <row r="32" spans="1:1" ht="16.5" customHeight="1" x14ac:dyDescent="0.3">
      <c r="A32" t="s">
        <v>111</v>
      </c>
    </row>
    <row r="33" spans="1:1" ht="16.5" customHeight="1" x14ac:dyDescent="0.3">
      <c r="A33" t="s">
        <v>119</v>
      </c>
    </row>
    <row r="34" spans="1:1" ht="16.5" customHeight="1" x14ac:dyDescent="0.3">
      <c r="A34" t="s">
        <v>121</v>
      </c>
    </row>
    <row r="35" spans="1:1" ht="16.5" customHeight="1" x14ac:dyDescent="0.3">
      <c r="A35" t="s">
        <v>123</v>
      </c>
    </row>
    <row r="36" spans="1:1" ht="16.5" customHeight="1" x14ac:dyDescent="0.3">
      <c r="A36" t="s">
        <v>127</v>
      </c>
    </row>
    <row r="37" spans="1:1" ht="16.5" customHeight="1" x14ac:dyDescent="0.3">
      <c r="A37" t="s">
        <v>130</v>
      </c>
    </row>
    <row r="38" spans="1:1" ht="16.5" customHeight="1" x14ac:dyDescent="0.3">
      <c r="A38" t="s">
        <v>142</v>
      </c>
    </row>
    <row r="39" spans="1:1" ht="16.5" customHeight="1" x14ac:dyDescent="0.3">
      <c r="A39" t="s">
        <v>145</v>
      </c>
    </row>
    <row r="40" spans="1:1" ht="16.5" customHeight="1" x14ac:dyDescent="0.3">
      <c r="A40" t="s">
        <v>150</v>
      </c>
    </row>
    <row r="41" spans="1:1" ht="16.5" customHeight="1" x14ac:dyDescent="0.3">
      <c r="A41" t="s">
        <v>163</v>
      </c>
    </row>
    <row r="42" spans="1:1" ht="16.5" customHeight="1" x14ac:dyDescent="0.3">
      <c r="A42" t="s">
        <v>170</v>
      </c>
    </row>
    <row r="43" spans="1:1" ht="16.5" customHeight="1" x14ac:dyDescent="0.3">
      <c r="A43" t="s">
        <v>174</v>
      </c>
    </row>
    <row r="44" spans="1:1" ht="16.5" customHeight="1" x14ac:dyDescent="0.3">
      <c r="A44" t="s">
        <v>177</v>
      </c>
    </row>
    <row r="45" spans="1:1" ht="16.5" customHeight="1" x14ac:dyDescent="0.3">
      <c r="A45" s="10" t="s">
        <v>180</v>
      </c>
    </row>
    <row r="46" spans="1:1" ht="16.5" customHeight="1" x14ac:dyDescent="0.3">
      <c r="A46" t="s">
        <v>182</v>
      </c>
    </row>
    <row r="47" spans="1:1" ht="16.5" customHeight="1" x14ac:dyDescent="0.3">
      <c r="A47" t="s">
        <v>190</v>
      </c>
    </row>
    <row r="48" spans="1:1" ht="16.5" customHeight="1" x14ac:dyDescent="0.3">
      <c r="A48" t="s">
        <v>193</v>
      </c>
    </row>
    <row r="49" spans="1:1" ht="16.5" customHeight="1" x14ac:dyDescent="0.3">
      <c r="A49" t="s">
        <v>195</v>
      </c>
    </row>
    <row r="50" spans="1:1" ht="16.5" customHeight="1" x14ac:dyDescent="0.3">
      <c r="A50" s="9" t="s">
        <v>207</v>
      </c>
    </row>
    <row r="51" spans="1:1" ht="16.5" customHeight="1" x14ac:dyDescent="0.3">
      <c r="A51" s="11" t="s">
        <v>212</v>
      </c>
    </row>
    <row r="52" spans="1:1" ht="16.5" customHeight="1" x14ac:dyDescent="0.3">
      <c r="A52" t="s">
        <v>217</v>
      </c>
    </row>
    <row r="53" spans="1:1" ht="16.5" customHeight="1" x14ac:dyDescent="0.3">
      <c r="A53" t="s">
        <v>221</v>
      </c>
    </row>
    <row r="54" spans="1:1" ht="16.5" customHeight="1" x14ac:dyDescent="0.3">
      <c r="A54" t="s">
        <v>230</v>
      </c>
    </row>
    <row r="55" spans="1:1" ht="16.5" customHeight="1" x14ac:dyDescent="0.3">
      <c r="A55" t="s">
        <v>247</v>
      </c>
    </row>
    <row r="56" spans="1:1" ht="16.5" customHeight="1" x14ac:dyDescent="0.3">
      <c r="A56" s="9" t="s">
        <v>252</v>
      </c>
    </row>
    <row r="57" spans="1:1" ht="16.5" customHeight="1" x14ac:dyDescent="0.3">
      <c r="A57" t="s">
        <v>256</v>
      </c>
    </row>
    <row r="58" spans="1:1" ht="16.5" customHeight="1" x14ac:dyDescent="0.3">
      <c r="A58" s="9" t="s">
        <v>269</v>
      </c>
    </row>
    <row r="59" spans="1:1" ht="16.5" customHeight="1" x14ac:dyDescent="0.3">
      <c r="A59" t="s">
        <v>270</v>
      </c>
    </row>
    <row r="60" spans="1:1" ht="16.5" customHeight="1" x14ac:dyDescent="0.3">
      <c r="A60" s="9" t="s">
        <v>272</v>
      </c>
    </row>
    <row r="61" spans="1:1" ht="16.5" customHeight="1" x14ac:dyDescent="0.3">
      <c r="A61" s="9" t="s">
        <v>277</v>
      </c>
    </row>
    <row r="62" spans="1:1" ht="16.5" customHeight="1" x14ac:dyDescent="0.3">
      <c r="A62" t="s">
        <v>302</v>
      </c>
    </row>
    <row r="63" spans="1:1" ht="16.5" customHeight="1" x14ac:dyDescent="0.3">
      <c r="A63" s="9" t="s">
        <v>306</v>
      </c>
    </row>
    <row r="64" spans="1:1" ht="16.5" customHeight="1" x14ac:dyDescent="0.3">
      <c r="A64" s="26" t="s">
        <v>324</v>
      </c>
    </row>
    <row r="65" spans="1:1" ht="16.5" customHeight="1" x14ac:dyDescent="0.3">
      <c r="A65" t="s">
        <v>335</v>
      </c>
    </row>
    <row r="66" spans="1:1" ht="16.5" customHeight="1" x14ac:dyDescent="0.3">
      <c r="A66" t="s">
        <v>340</v>
      </c>
    </row>
    <row r="67" spans="1:1" ht="16.5" customHeight="1" x14ac:dyDescent="0.3">
      <c r="A67" t="s">
        <v>342</v>
      </c>
    </row>
    <row r="68" spans="1:1" ht="16.5" customHeight="1" x14ac:dyDescent="0.3">
      <c r="A68" t="s">
        <v>347</v>
      </c>
    </row>
    <row r="69" spans="1:1" ht="16.5" customHeight="1" x14ac:dyDescent="0.3">
      <c r="A69" t="s">
        <v>357</v>
      </c>
    </row>
    <row r="70" spans="1:1" ht="16.5" customHeight="1" x14ac:dyDescent="0.3">
      <c r="A70" t="s">
        <v>359</v>
      </c>
    </row>
    <row r="71" spans="1:1" ht="16.5" customHeight="1" x14ac:dyDescent="0.3">
      <c r="A71" t="s">
        <v>361</v>
      </c>
    </row>
    <row r="72" spans="1:1" ht="16.5" customHeight="1" x14ac:dyDescent="0.3">
      <c r="A72" t="s">
        <v>376</v>
      </c>
    </row>
    <row r="73" spans="1:1" ht="16.5" customHeight="1" x14ac:dyDescent="0.3">
      <c r="A73" s="26" t="s">
        <v>386</v>
      </c>
    </row>
    <row r="74" spans="1:1" ht="16.5" customHeight="1" x14ac:dyDescent="0.3">
      <c r="A74" t="s">
        <v>388</v>
      </c>
    </row>
    <row r="75" spans="1:1" ht="16.5" customHeight="1" x14ac:dyDescent="0.3">
      <c r="A75" s="9" t="s">
        <v>392</v>
      </c>
    </row>
    <row r="76" spans="1:1" ht="16.5" customHeight="1" x14ac:dyDescent="0.3">
      <c r="A76" t="s">
        <v>398</v>
      </c>
    </row>
    <row r="77" spans="1:1" ht="16.5" customHeight="1" x14ac:dyDescent="0.3">
      <c r="A77" t="s">
        <v>413</v>
      </c>
    </row>
    <row r="78" spans="1:1" ht="16.5" customHeight="1" x14ac:dyDescent="0.3">
      <c r="A78" t="s">
        <v>414</v>
      </c>
    </row>
    <row r="79" spans="1:1" ht="16.5" customHeight="1" x14ac:dyDescent="0.3">
      <c r="A79" t="s">
        <v>418</v>
      </c>
    </row>
    <row r="80" spans="1:1" ht="16.5" customHeight="1" x14ac:dyDescent="0.3">
      <c r="A80" t="s">
        <v>420</v>
      </c>
    </row>
    <row r="81" spans="1:1" ht="16.5" customHeight="1" x14ac:dyDescent="0.3">
      <c r="A81" t="s">
        <v>427</v>
      </c>
    </row>
    <row r="82" spans="1:1" ht="16.5" customHeight="1" x14ac:dyDescent="0.3">
      <c r="A82" t="s">
        <v>434</v>
      </c>
    </row>
    <row r="83" spans="1:1" ht="16.5" customHeight="1" x14ac:dyDescent="0.3">
      <c r="A83" t="s">
        <v>436</v>
      </c>
    </row>
    <row r="84" spans="1:1" ht="16.5" customHeight="1" x14ac:dyDescent="0.3">
      <c r="A84" t="s">
        <v>361</v>
      </c>
    </row>
    <row r="85" spans="1:1" ht="16.5" customHeight="1" x14ac:dyDescent="0.3">
      <c r="A85" t="s">
        <v>450</v>
      </c>
    </row>
    <row r="86" spans="1:1" ht="16.5" customHeight="1" x14ac:dyDescent="0.3">
      <c r="A86" s="43" t="s">
        <v>452</v>
      </c>
    </row>
    <row r="87" spans="1:1" ht="16.5" customHeight="1" x14ac:dyDescent="0.3">
      <c r="A87" s="9" t="s">
        <v>457</v>
      </c>
    </row>
    <row r="88" spans="1:1" ht="16.5" customHeight="1" x14ac:dyDescent="0.3">
      <c r="A88" t="s">
        <v>461</v>
      </c>
    </row>
    <row r="89" spans="1:1" ht="16.5" customHeight="1" x14ac:dyDescent="0.3">
      <c r="A89" s="9" t="s">
        <v>466</v>
      </c>
    </row>
    <row r="90" spans="1:1" ht="16.5" customHeight="1" x14ac:dyDescent="0.3">
      <c r="A90" t="s">
        <v>471</v>
      </c>
    </row>
    <row r="91" spans="1:1" ht="16.5" customHeight="1" x14ac:dyDescent="0.3">
      <c r="A91" t="s">
        <v>81</v>
      </c>
    </row>
    <row r="92" spans="1:1" ht="16.5" customHeight="1" x14ac:dyDescent="0.3">
      <c r="A92" t="s">
        <v>477</v>
      </c>
    </row>
  </sheetData>
  <hyperlinks>
    <hyperlink ref="A50" r:id="rId1" display="https://rareworks.frappe.cloud/app/customer/SIERRA LUXURY JEWELLERY TRADING L.L.C" xr:uid="{7DF5C00F-9465-4F19-8B13-6E6F4C0654BF}"/>
    <hyperlink ref="A56" r:id="rId2" display="https://rareworks.frappe.cloud/app/customer/Blue Diamond Jewellery L.L.C" xr:uid="{DF02F641-182E-4E4B-A1E7-A0E228B8CBD8}"/>
    <hyperlink ref="A58" r:id="rId3" display="https://rareworks.frappe.cloud/app/customer/Solara Jewellery LLC" xr:uid="{58B5FC90-7CE2-4603-B773-6CDD501CC905}"/>
    <hyperlink ref="A60" r:id="rId4" display="https://rareworks.frappe.cloud/app/customer/Lausanne Collections Jewellery Trading LLC" xr:uid="{983152AD-0045-4780-951B-182B40CA7E0A}"/>
    <hyperlink ref="A61" r:id="rId5" display="https://rareworks.frappe.cloud/app/customer/Amritlal R Dhanak Jewellers" xr:uid="{ACE406C2-4B11-4B8D-A3F4-C4BAEF6A9C2F}"/>
    <hyperlink ref="A63" r:id="rId6" display="https://rareworks.frappe.cloud/app/customer/NILKANTH GOODS WHOLESALERS L.L.C" xr:uid="{FD00DD1A-4F54-4CF2-9EC3-C3D9A8517237}"/>
    <hyperlink ref="A75" r:id="rId7" display="https://rareworks.frappe.cloud/app/customer/Muhebi Gold and Jewellery Trading LLC" xr:uid="{BA3F2B7B-734D-4885-BCC2-6FDE682BF325}"/>
    <hyperlink ref="A87" r:id="rId8" display="https://rareworks.frappe.cloud/app/customer/NEW VERONA FZCO" xr:uid="{F5EB2D98-2D47-4087-9716-317744F6A481}"/>
    <hyperlink ref="A89" r:id="rId9" display="https://rareworks.frappe.cloud/app/customer/Ultra Medium Sdn. Bhd." xr:uid="{D632653E-A2DE-48BC-92B5-D5B9D8D6D820}"/>
  </hyperlinks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C026-9A8F-469C-9E66-4DE5F1BD433A}">
  <dimension ref="A2:H16"/>
  <sheetViews>
    <sheetView workbookViewId="0">
      <selection activeCell="A13" sqref="A13"/>
    </sheetView>
  </sheetViews>
  <sheetFormatPr defaultRowHeight="14.4" x14ac:dyDescent="0.3"/>
  <cols>
    <col min="1" max="1" width="50.6640625" customWidth="1"/>
    <col min="2" max="2" width="19.33203125" customWidth="1"/>
    <col min="3" max="3" width="18" style="3" customWidth="1"/>
    <col min="4" max="4" width="20" customWidth="1"/>
    <col min="5" max="5" width="19" customWidth="1"/>
    <col min="6" max="6" width="18.5546875" customWidth="1"/>
    <col min="7" max="7" width="20.33203125" customWidth="1"/>
    <col min="8" max="8" width="10.6640625" bestFit="1" customWidth="1"/>
  </cols>
  <sheetData>
    <row r="2" spans="1:8" x14ac:dyDescent="0.3">
      <c r="A2" t="s">
        <v>243</v>
      </c>
      <c r="B2" t="s">
        <v>311</v>
      </c>
      <c r="C2" s="3" t="s">
        <v>305</v>
      </c>
      <c r="D2" t="s">
        <v>265</v>
      </c>
      <c r="E2" t="s">
        <v>42</v>
      </c>
    </row>
    <row r="3" spans="1:8" x14ac:dyDescent="0.3">
      <c r="A3" t="s">
        <v>310</v>
      </c>
    </row>
    <row r="4" spans="1:8" x14ac:dyDescent="0.3">
      <c r="A4" s="20" t="s">
        <v>177</v>
      </c>
      <c r="B4" s="1"/>
      <c r="C4" s="3">
        <v>1000</v>
      </c>
      <c r="D4">
        <v>-2</v>
      </c>
      <c r="E4" s="4">
        <f>C4+D4</f>
        <v>998</v>
      </c>
      <c r="F4" s="22" t="s">
        <v>300</v>
      </c>
      <c r="G4" t="s">
        <v>211</v>
      </c>
    </row>
    <row r="5" spans="1:8" x14ac:dyDescent="0.3">
      <c r="A5" s="20" t="s">
        <v>306</v>
      </c>
      <c r="B5" s="1"/>
      <c r="D5" s="3">
        <v>1916</v>
      </c>
      <c r="E5" s="4">
        <f>C5+D5</f>
        <v>1916</v>
      </c>
      <c r="F5" s="22" t="s">
        <v>307</v>
      </c>
      <c r="G5" t="s">
        <v>211</v>
      </c>
    </row>
    <row r="6" spans="1:8" x14ac:dyDescent="0.3">
      <c r="A6" s="20" t="s">
        <v>306</v>
      </c>
      <c r="B6" s="1"/>
      <c r="D6" s="3">
        <v>974</v>
      </c>
      <c r="E6" s="4">
        <f>C6+D6</f>
        <v>974</v>
      </c>
      <c r="F6" s="23" t="s">
        <v>308</v>
      </c>
      <c r="G6" t="s">
        <v>211</v>
      </c>
    </row>
    <row r="7" spans="1:8" x14ac:dyDescent="0.3">
      <c r="A7" s="20" t="s">
        <v>100</v>
      </c>
      <c r="B7" s="1"/>
      <c r="D7" s="3">
        <v>147</v>
      </c>
      <c r="E7" s="4">
        <f>C7+D7</f>
        <v>147</v>
      </c>
      <c r="F7" s="21" t="s">
        <v>309</v>
      </c>
      <c r="G7" t="s">
        <v>211</v>
      </c>
    </row>
    <row r="8" spans="1:8" x14ac:dyDescent="0.3">
      <c r="A8" s="20" t="s">
        <v>277</v>
      </c>
      <c r="B8" s="1"/>
      <c r="C8" s="3">
        <v>4000</v>
      </c>
      <c r="D8" s="3">
        <v>35</v>
      </c>
      <c r="E8" s="4">
        <f>C8+D8</f>
        <v>4035</v>
      </c>
      <c r="H8" s="24">
        <v>45811</v>
      </c>
    </row>
    <row r="9" spans="1:8" x14ac:dyDescent="0.3">
      <c r="A9" s="25" t="s">
        <v>312</v>
      </c>
      <c r="B9">
        <v>1916</v>
      </c>
    </row>
    <row r="10" spans="1:8" x14ac:dyDescent="0.3">
      <c r="A10" s="25" t="s">
        <v>312</v>
      </c>
      <c r="B10">
        <v>974</v>
      </c>
    </row>
    <row r="11" spans="1:8" x14ac:dyDescent="0.3">
      <c r="A11" s="25" t="s">
        <v>312</v>
      </c>
      <c r="B11">
        <v>147</v>
      </c>
    </row>
    <row r="16" spans="1:8" x14ac:dyDescent="0.3">
      <c r="D16" s="4"/>
    </row>
  </sheetData>
  <hyperlinks>
    <hyperlink ref="F4" r:id="rId1" xr:uid="{01F132D1-6223-443F-A799-BF5B5599EE6F}"/>
    <hyperlink ref="F5" r:id="rId2" xr:uid="{3DA81AC5-C2F0-4FAC-9458-1C882B9C5CDB}"/>
    <hyperlink ref="F6" r:id="rId3" xr:uid="{3D00D0DB-CFFA-41D6-9D7E-5776E274D4B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738B63-791E-4BEE-907F-6641B48FAC46}">
          <x14:formula1>
            <xm:f>'Data List '!$A$1:$A$195</xm:f>
          </x14:formula1>
          <xm:sqref>A4:B8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B366-5E5B-45E0-B2C9-0CF088CF269C}">
  <dimension ref="A2:B4"/>
  <sheetViews>
    <sheetView topLeftCell="BB1" workbookViewId="0">
      <selection activeCell="B4" sqref="B4"/>
    </sheetView>
  </sheetViews>
  <sheetFormatPr defaultRowHeight="14.4" x14ac:dyDescent="0.3"/>
  <cols>
    <col min="1" max="1" width="39.5546875" customWidth="1"/>
    <col min="2" max="2" width="24.88671875" customWidth="1"/>
  </cols>
  <sheetData>
    <row r="2" spans="1:2" ht="15" thickBot="1" x14ac:dyDescent="0.35"/>
    <row r="3" spans="1:2" x14ac:dyDescent="0.3">
      <c r="A3" s="12" t="s">
        <v>230</v>
      </c>
      <c r="B3" s="13" t="e">
        <f>SUBTOTAL(109,#REF!)</f>
        <v>#REF!</v>
      </c>
    </row>
    <row r="4" spans="1:2" x14ac:dyDescent="0.3">
      <c r="A4" s="12" t="s">
        <v>37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D6332E-0A55-4135-B57C-7E8DCE7FA457}">
          <x14:formula1>
            <xm:f>'Data List '!$A$1:$A$195</xm:f>
          </x14:formula1>
          <xm:sqref>A3:A4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0438-C363-4530-BD28-006ED4FFBE7F}">
  <dimension ref="B1:H31"/>
  <sheetViews>
    <sheetView workbookViewId="0">
      <selection activeCell="H7" sqref="H7"/>
    </sheetView>
  </sheetViews>
  <sheetFormatPr defaultRowHeight="14.4" x14ac:dyDescent="0.3"/>
  <cols>
    <col min="2" max="2" width="32.44140625" customWidth="1"/>
    <col min="3" max="3" width="21.109375" customWidth="1"/>
  </cols>
  <sheetData>
    <row r="1" spans="2:8" x14ac:dyDescent="0.3">
      <c r="B1" s="15" t="s">
        <v>243</v>
      </c>
      <c r="C1" s="15" t="s">
        <v>244</v>
      </c>
    </row>
    <row r="2" spans="2:8" ht="24" customHeight="1" x14ac:dyDescent="0.3">
      <c r="B2" s="16" t="s">
        <v>27</v>
      </c>
      <c r="C2" s="17">
        <v>425</v>
      </c>
    </row>
    <row r="3" spans="2:8" ht="24" customHeight="1" x14ac:dyDescent="0.3">
      <c r="B3" s="18" t="s">
        <v>18</v>
      </c>
      <c r="C3" s="17">
        <v>2699.53</v>
      </c>
    </row>
    <row r="4" spans="2:8" ht="24" customHeight="1" x14ac:dyDescent="0.3">
      <c r="B4" s="19" t="s">
        <v>121</v>
      </c>
      <c r="C4" s="17">
        <v>47.5</v>
      </c>
    </row>
    <row r="5" spans="2:8" ht="24" customHeight="1" x14ac:dyDescent="0.3">
      <c r="B5" s="19" t="s">
        <v>142</v>
      </c>
      <c r="C5" s="17">
        <v>0</v>
      </c>
    </row>
    <row r="6" spans="2:8" ht="24" customHeight="1" x14ac:dyDescent="0.3">
      <c r="B6" s="19" t="s">
        <v>105</v>
      </c>
      <c r="C6" s="17">
        <v>7914.3</v>
      </c>
    </row>
    <row r="7" spans="2:8" ht="24" customHeight="1" x14ac:dyDescent="0.3">
      <c r="B7" s="19" t="s">
        <v>180</v>
      </c>
      <c r="C7" s="17">
        <v>1650</v>
      </c>
      <c r="F7" t="s">
        <v>313</v>
      </c>
      <c r="G7">
        <v>40</v>
      </c>
      <c r="H7" t="s">
        <v>314</v>
      </c>
    </row>
    <row r="8" spans="2:8" ht="24" customHeight="1" x14ac:dyDescent="0.3">
      <c r="B8" s="18" t="s">
        <v>190</v>
      </c>
      <c r="C8" s="17">
        <v>0</v>
      </c>
    </row>
    <row r="9" spans="2:8" ht="24" customHeight="1" x14ac:dyDescent="0.3">
      <c r="B9" s="18" t="s">
        <v>193</v>
      </c>
      <c r="C9" s="17">
        <v>0</v>
      </c>
    </row>
    <row r="10" spans="2:8" ht="24" customHeight="1" x14ac:dyDescent="0.3">
      <c r="B10" s="18" t="s">
        <v>207</v>
      </c>
      <c r="C10" s="17">
        <v>27000</v>
      </c>
    </row>
    <row r="11" spans="2:8" ht="24" customHeight="1" x14ac:dyDescent="0.3">
      <c r="B11" s="18" t="s">
        <v>145</v>
      </c>
      <c r="C11" s="17">
        <v>2561.25</v>
      </c>
    </row>
    <row r="12" spans="2:8" ht="24" customHeight="1" x14ac:dyDescent="0.3">
      <c r="B12" s="19" t="s">
        <v>217</v>
      </c>
      <c r="C12" s="17"/>
    </row>
    <row r="13" spans="2:8" ht="24" customHeight="1" x14ac:dyDescent="0.3">
      <c r="B13" s="19" t="s">
        <v>221</v>
      </c>
      <c r="C13" s="17">
        <v>3990</v>
      </c>
    </row>
    <row r="14" spans="2:8" ht="24" customHeight="1" x14ac:dyDescent="0.3">
      <c r="B14" s="19" t="s">
        <v>130</v>
      </c>
      <c r="C14" s="17">
        <v>0</v>
      </c>
    </row>
    <row r="15" spans="2:8" ht="24" customHeight="1" x14ac:dyDescent="0.3">
      <c r="B15" s="19" t="s">
        <v>37</v>
      </c>
      <c r="C15" s="17">
        <v>0</v>
      </c>
    </row>
    <row r="16" spans="2:8" ht="24" customHeight="1" x14ac:dyDescent="0.3">
      <c r="B16" s="19" t="s">
        <v>81</v>
      </c>
      <c r="C16" s="17">
        <v>0</v>
      </c>
    </row>
    <row r="17" spans="2:3" ht="24" customHeight="1" x14ac:dyDescent="0.3">
      <c r="B17" s="19" t="s">
        <v>84</v>
      </c>
      <c r="C17" s="17">
        <v>0</v>
      </c>
    </row>
    <row r="18" spans="2:3" ht="24" customHeight="1" x14ac:dyDescent="0.3">
      <c r="B18" s="19" t="s">
        <v>16</v>
      </c>
      <c r="C18" s="17">
        <v>0</v>
      </c>
    </row>
    <row r="19" spans="2:3" ht="24" customHeight="1" x14ac:dyDescent="0.3">
      <c r="B19" s="16" t="s">
        <v>23</v>
      </c>
      <c r="C19" s="17">
        <v>0</v>
      </c>
    </row>
    <row r="20" spans="2:3" ht="24" customHeight="1" x14ac:dyDescent="0.3">
      <c r="B20" s="18" t="s">
        <v>20</v>
      </c>
      <c r="C20" s="17">
        <v>0</v>
      </c>
    </row>
    <row r="21" spans="2:3" ht="24" customHeight="1" x14ac:dyDescent="0.3">
      <c r="B21" s="18" t="s">
        <v>170</v>
      </c>
      <c r="C21" s="17">
        <v>10924</v>
      </c>
    </row>
    <row r="22" spans="2:3" x14ac:dyDescent="0.3">
      <c r="B22" s="2"/>
      <c r="C22" s="14"/>
    </row>
    <row r="23" spans="2:3" x14ac:dyDescent="0.3">
      <c r="B23" s="2"/>
      <c r="C23" s="14"/>
    </row>
    <row r="24" spans="2:3" x14ac:dyDescent="0.3">
      <c r="B24" s="2"/>
      <c r="C24" s="14"/>
    </row>
    <row r="25" spans="2:3" x14ac:dyDescent="0.3">
      <c r="B25" s="2"/>
      <c r="C25" s="14"/>
    </row>
    <row r="26" spans="2:3" x14ac:dyDescent="0.3">
      <c r="B26" s="2"/>
      <c r="C26" s="14"/>
    </row>
    <row r="27" spans="2:3" x14ac:dyDescent="0.3">
      <c r="B27" s="2"/>
      <c r="C27" s="14"/>
    </row>
    <row r="28" spans="2:3" x14ac:dyDescent="0.3">
      <c r="B28" s="2"/>
      <c r="C28" s="14"/>
    </row>
    <row r="29" spans="2:3" x14ac:dyDescent="0.3">
      <c r="B29" s="2"/>
      <c r="C29" s="14"/>
    </row>
    <row r="30" spans="2:3" x14ac:dyDescent="0.3">
      <c r="B30" s="2"/>
      <c r="C30" s="14"/>
    </row>
    <row r="31" spans="2:3" x14ac:dyDescent="0.3">
      <c r="B31" s="2"/>
      <c r="C31" s="14"/>
    </row>
  </sheetData>
  <autoFilter ref="B1:C6" xr:uid="{F9EF0438-C363-4530-BD28-006ED4FFBE7F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6A383F-F68D-4DFB-A7C8-75C5E40AEB91}">
          <x14:formula1>
            <xm:f>'Data List '!$A$1:$A$195</xm:f>
          </x14:formula1>
          <xm:sqref>B4 B15:B18 B6 B5 B13 B2 B7 B14 B3 B19 B8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57B8-A626-4621-9C1A-DBCFA55A27FF}">
  <sheetPr>
    <pageSetUpPr fitToPage="1"/>
  </sheetPr>
  <dimension ref="A2:J21"/>
  <sheetViews>
    <sheetView workbookViewId="0">
      <selection activeCell="F16" sqref="F16"/>
    </sheetView>
  </sheetViews>
  <sheetFormatPr defaultColWidth="33" defaultRowHeight="26.25" customHeight="1" x14ac:dyDescent="0.3"/>
  <cols>
    <col min="1" max="1" width="13.6640625" customWidth="1"/>
    <col min="2" max="2" width="16.88671875" customWidth="1"/>
    <col min="3" max="3" width="15.5546875" customWidth="1"/>
    <col min="4" max="9" width="16.6640625" customWidth="1"/>
    <col min="10" max="10" width="17.6640625" customWidth="1"/>
  </cols>
  <sheetData>
    <row r="2" spans="1:10" ht="26.25" customHeight="1" x14ac:dyDescent="0.3">
      <c r="A2" s="51" t="s">
        <v>243</v>
      </c>
      <c r="B2" s="51"/>
      <c r="C2" s="51" t="s">
        <v>163</v>
      </c>
      <c r="D2" s="51"/>
      <c r="E2" s="51"/>
      <c r="F2" s="51"/>
      <c r="G2" s="51"/>
    </row>
    <row r="3" spans="1:10" ht="26.25" customHeight="1" x14ac:dyDescent="0.4">
      <c r="A3" s="50" t="s">
        <v>382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26.25" customHeight="1" x14ac:dyDescent="0.3">
      <c r="A4" s="27" t="s">
        <v>0</v>
      </c>
      <c r="B4" s="27" t="s">
        <v>1</v>
      </c>
      <c r="C4" s="27" t="s">
        <v>186</v>
      </c>
      <c r="D4" s="28" t="s">
        <v>2</v>
      </c>
      <c r="E4" s="28" t="s">
        <v>77</v>
      </c>
      <c r="F4" s="28" t="s">
        <v>202</v>
      </c>
      <c r="G4" s="28" t="s">
        <v>3</v>
      </c>
      <c r="H4" s="28" t="s">
        <v>242</v>
      </c>
      <c r="I4" s="28" t="s">
        <v>4</v>
      </c>
      <c r="J4" s="28" t="s">
        <v>5</v>
      </c>
    </row>
    <row r="5" spans="1:10" ht="26.25" customHeight="1" x14ac:dyDescent="0.3">
      <c r="A5" s="22" t="s">
        <v>162</v>
      </c>
      <c r="B5" s="29">
        <v>45659</v>
      </c>
      <c r="C5" s="29" t="s">
        <v>187</v>
      </c>
      <c r="D5" s="30">
        <v>11725</v>
      </c>
      <c r="E5" s="30">
        <v>586.25</v>
      </c>
      <c r="F5" s="30">
        <v>0</v>
      </c>
      <c r="G5" s="30">
        <v>0</v>
      </c>
      <c r="H5" s="31">
        <v>12312</v>
      </c>
      <c r="I5" s="30">
        <v>0</v>
      </c>
      <c r="J5" s="37">
        <v>12312</v>
      </c>
    </row>
    <row r="6" spans="1:10" ht="26.25" customHeight="1" x14ac:dyDescent="0.3">
      <c r="A6" s="32" t="s">
        <v>164</v>
      </c>
      <c r="B6" s="33">
        <v>45659</v>
      </c>
      <c r="C6" s="33" t="s">
        <v>187</v>
      </c>
      <c r="D6" s="34">
        <v>1700</v>
      </c>
      <c r="E6" s="34">
        <v>85</v>
      </c>
      <c r="F6" s="34">
        <v>0</v>
      </c>
      <c r="G6" s="34">
        <v>0</v>
      </c>
      <c r="H6" s="34">
        <v>1785</v>
      </c>
      <c r="I6" s="34">
        <v>0</v>
      </c>
      <c r="J6" s="38">
        <v>1785</v>
      </c>
    </row>
    <row r="7" spans="1:10" ht="26.25" customHeight="1" x14ac:dyDescent="0.3">
      <c r="A7" s="20"/>
      <c r="B7" s="29">
        <v>45671</v>
      </c>
      <c r="C7" s="29" t="s">
        <v>188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10000</v>
      </c>
      <c r="J7" s="39">
        <v>-10000</v>
      </c>
    </row>
    <row r="8" spans="1:10" ht="26.25" customHeight="1" x14ac:dyDescent="0.3">
      <c r="A8" s="32" t="s">
        <v>240</v>
      </c>
      <c r="B8" s="33">
        <v>45700</v>
      </c>
      <c r="C8" s="33" t="s">
        <v>187</v>
      </c>
      <c r="D8" s="34">
        <v>1200</v>
      </c>
      <c r="E8" s="34">
        <v>60</v>
      </c>
      <c r="F8" s="34">
        <v>0</v>
      </c>
      <c r="G8" s="34">
        <v>0</v>
      </c>
      <c r="H8" s="35">
        <v>1260</v>
      </c>
      <c r="I8" s="34">
        <v>0</v>
      </c>
      <c r="J8" s="38">
        <v>1260</v>
      </c>
    </row>
    <row r="9" spans="1:10" ht="26.25" customHeight="1" x14ac:dyDescent="0.3">
      <c r="A9" s="22" t="s">
        <v>240</v>
      </c>
      <c r="B9" s="29">
        <v>45744</v>
      </c>
      <c r="C9" s="29" t="s">
        <v>188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6">
        <v>1260</v>
      </c>
      <c r="J9" s="39">
        <v>-1260</v>
      </c>
    </row>
    <row r="10" spans="1:10" ht="26.25" customHeight="1" x14ac:dyDescent="0.3">
      <c r="A10" s="32" t="s">
        <v>321</v>
      </c>
      <c r="B10" s="33">
        <v>45827</v>
      </c>
      <c r="C10" s="33" t="s">
        <v>187</v>
      </c>
      <c r="D10" s="34">
        <v>9000</v>
      </c>
      <c r="E10" s="34">
        <v>451.75</v>
      </c>
      <c r="F10" s="34">
        <v>0</v>
      </c>
      <c r="G10" s="34">
        <v>35</v>
      </c>
      <c r="H10" s="40">
        <v>9486.75</v>
      </c>
      <c r="I10" s="34">
        <v>0</v>
      </c>
      <c r="J10" s="38">
        <v>9486.75</v>
      </c>
    </row>
    <row r="11" spans="1:10" ht="26.25" customHeight="1" thickBot="1" x14ac:dyDescent="0.35">
      <c r="A11" s="22" t="s">
        <v>381</v>
      </c>
      <c r="B11" s="29">
        <v>45891</v>
      </c>
      <c r="C11" s="29" t="s">
        <v>187</v>
      </c>
      <c r="D11" s="30">
        <v>5750</v>
      </c>
      <c r="E11" s="30">
        <v>289.25</v>
      </c>
      <c r="F11" s="30">
        <v>0</v>
      </c>
      <c r="G11" s="30">
        <v>35</v>
      </c>
      <c r="H11" s="30">
        <v>6074.25</v>
      </c>
      <c r="I11" s="30">
        <v>0</v>
      </c>
      <c r="J11" s="39">
        <v>6074.25</v>
      </c>
    </row>
    <row r="12" spans="1:10" ht="26.25" customHeight="1" x14ac:dyDescent="0.3">
      <c r="A12" s="41" t="s">
        <v>42</v>
      </c>
      <c r="B12" s="41"/>
      <c r="C12" s="41"/>
      <c r="D12" s="42">
        <f>SUM(D5:D11)</f>
        <v>29375</v>
      </c>
      <c r="E12" s="42">
        <f>SUM(E5:E11)</f>
        <v>1472.25</v>
      </c>
      <c r="F12" s="42">
        <f>SUM(F5:F11)</f>
        <v>0</v>
      </c>
      <c r="G12" s="42">
        <f>SUM(G5:G11)</f>
        <v>70</v>
      </c>
      <c r="H12" s="42">
        <f t="shared" ref="H12:J12" si="0">SUM(H5:H11)</f>
        <v>30918</v>
      </c>
      <c r="I12" s="42">
        <f t="shared" si="0"/>
        <v>11260</v>
      </c>
      <c r="J12" s="13">
        <f t="shared" si="0"/>
        <v>19658</v>
      </c>
    </row>
    <row r="14" spans="1:10" ht="18" customHeight="1" x14ac:dyDescent="0.3"/>
    <row r="15" spans="1:10" ht="18" customHeight="1" x14ac:dyDescent="0.3"/>
    <row r="16" spans="1:10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</sheetData>
  <mergeCells count="3">
    <mergeCell ref="A3:J3"/>
    <mergeCell ref="A2:B2"/>
    <mergeCell ref="C2:G2"/>
  </mergeCells>
  <conditionalFormatting sqref="F5:I9">
    <cfRule type="cellIs" dxfId="1" priority="1" operator="greaterThan">
      <formula>0</formula>
    </cfRule>
  </conditionalFormatting>
  <conditionalFormatting sqref="J5:J11">
    <cfRule type="cellIs" dxfId="0" priority="2" operator="greaterThan">
      <formula>0</formula>
    </cfRule>
  </conditionalFormatting>
  <dataValidations count="6">
    <dataValidation allowBlank="1" showInputMessage="1" showErrorMessage="1" prompt="Enter Invoice number in this column under this heading. Use heading filters to find specific enteries" sqref="A4" xr:uid="{656578B5-7C31-4BC4-A3DD-4D9A88F3ECF0}"/>
    <dataValidation allowBlank="1" showInputMessage="1" showErrorMessage="1" prompt="Late Fee is automatically updated in this column under this heading" sqref="G4:H4" xr:uid="{A5F064E7-8CE1-4F98-8A07-F3810F9AD066}"/>
    <dataValidation allowBlank="1" showInputMessage="1" showErrorMessage="1" prompt="Enter Amount in this column under this heading" sqref="D4:F4" xr:uid="{575C72B8-BBA6-46BB-B0A4-D0D2E82F0FE1}"/>
    <dataValidation allowBlank="1" showInputMessage="1" showErrorMessage="1" prompt="Enter Date in this column under this heading" sqref="B4:C4" xr:uid="{1FABEABE-289E-47D6-BB4A-D501D19FD1B0}"/>
    <dataValidation allowBlank="1" showInputMessage="1" showErrorMessage="1" prompt="Enter Total Paid amount in this column under this heading" sqref="I4" xr:uid="{8EB289C0-1D6B-45D7-A3EA-70250576E313}"/>
    <dataValidation allowBlank="1" showInputMessage="1" showErrorMessage="1" prompt="Outstanding amount is automatically updated in this column under this heading" sqref="J4" xr:uid="{6FF2A115-D844-454C-B1B7-424ED50FCD05}"/>
  </dataValidations>
  <hyperlinks>
    <hyperlink ref="A5" r:id="rId1" xr:uid="{C1640BC2-667A-4D77-A5CE-74336EB9B56E}"/>
    <hyperlink ref="A9" r:id="rId2" xr:uid="{15A47C66-7189-4BAF-8998-2FB425D905E9}"/>
    <hyperlink ref="A6" r:id="rId3" xr:uid="{2BD6A94F-4F98-4662-A3A4-517961C8CF00}"/>
    <hyperlink ref="A8" r:id="rId4" xr:uid="{FA3BC875-1504-4877-906F-822F8C2361A0}"/>
    <hyperlink ref="H8" r:id="rId5" display="Sales Invoices/SI-25-02-60- Cash Deposit to IME 1200 , Balance 60 Petty cash.jpg" xr:uid="{ABA16A72-EA54-4677-988F-676EB634FEAC}"/>
    <hyperlink ref="I9" r:id="rId6" display="Sales Invoices/SI-25-02-60-Cash Payent.pdf" xr:uid="{4E1FB927-0BD1-4B46-930B-57A9A62C809E}"/>
    <hyperlink ref="A10" r:id="rId7" xr:uid="{E926598B-050F-48D4-84C6-C76F81023A4E}"/>
    <hyperlink ref="A11" r:id="rId8" xr:uid="{3387796E-4481-4C13-BB3D-B47421D29839}"/>
  </hyperlinks>
  <pageMargins left="0.7" right="0.7" top="0.75" bottom="0.75" header="0.3" footer="0.3"/>
  <pageSetup paperSize="9" scale="79" orientation="landscape"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B7C0-BB39-4184-9016-AF106A7F28D8}">
  <dimension ref="A2:C7"/>
  <sheetViews>
    <sheetView workbookViewId="0">
      <selection activeCell="A4" sqref="A4:C7"/>
    </sheetView>
  </sheetViews>
  <sheetFormatPr defaultRowHeight="14.4" x14ac:dyDescent="0.3"/>
  <cols>
    <col min="1" max="1" width="16.109375" style="44" customWidth="1"/>
    <col min="2" max="2" width="17" customWidth="1"/>
    <col min="3" max="3" width="13.33203125" customWidth="1"/>
  </cols>
  <sheetData>
    <row r="2" spans="1:3" x14ac:dyDescent="0.3">
      <c r="B2" s="44"/>
    </row>
    <row r="3" spans="1:3" x14ac:dyDescent="0.3">
      <c r="B3" s="44"/>
    </row>
    <row r="4" spans="1:3" x14ac:dyDescent="0.3">
      <c r="A4" s="45" t="s">
        <v>481</v>
      </c>
      <c r="B4" s="45" t="s">
        <v>482</v>
      </c>
      <c r="C4" s="45" t="s">
        <v>2</v>
      </c>
    </row>
    <row r="5" spans="1:3" x14ac:dyDescent="0.3">
      <c r="A5" s="46">
        <v>45842</v>
      </c>
      <c r="B5" s="47" t="s">
        <v>379</v>
      </c>
      <c r="C5" s="48">
        <v>1628</v>
      </c>
    </row>
    <row r="6" spans="1:3" x14ac:dyDescent="0.3">
      <c r="A6" s="46">
        <v>45842</v>
      </c>
      <c r="B6" s="47" t="s">
        <v>380</v>
      </c>
      <c r="C6" s="48">
        <v>1628</v>
      </c>
    </row>
    <row r="7" spans="1:3" x14ac:dyDescent="0.3">
      <c r="A7" s="46">
        <v>45901</v>
      </c>
      <c r="B7" s="47" t="s">
        <v>423</v>
      </c>
      <c r="C7" s="48">
        <v>4541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49827081-DAB4-4C8F-B016-00ED0FF1DA7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BACCF3-191B-43F7-9EF7-BFF1DDC263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628C7-E929-4CFA-A361-F92AFBE3D03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E88215-6BDA-4294-AFFE-578867E235BE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71af3243-3dd4-4a8d-8c0d-dd76da1f02a5"/>
    <ds:schemaRef ds:uri="http://schemas.microsoft.com/office/2006/documentManagement/types"/>
    <ds:schemaRef ds:uri="230e9df3-be65-4c73-a93b-d1236ebd677e"/>
    <ds:schemaRef ds:uri="16c05727-aa75-4e4a-9b5f-8a80a1165891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TM16400626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Invoice Tracker</vt:lpstr>
      <vt:lpstr>Sheet6</vt:lpstr>
      <vt:lpstr>Sheet1</vt:lpstr>
      <vt:lpstr>Data List </vt:lpstr>
      <vt:lpstr>Payment Details </vt:lpstr>
      <vt:lpstr>Sheet3</vt:lpstr>
      <vt:lpstr>Sheet2</vt:lpstr>
      <vt:lpstr>Sheet4</vt:lpstr>
      <vt:lpstr>Sheet5</vt:lpstr>
      <vt:lpstr>'Invoice Tracker'!Print_Titles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2022-11-12T06:19:01Z</dcterms:created>
  <dcterms:modified xsi:type="dcterms:W3CDTF">2026-03-20T07:44:48Z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